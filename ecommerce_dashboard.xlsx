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KPI_Data" sheetId="2" state="visible" r:id="rId4"/>
    <sheet name="Monthly_Revenue" sheetId="3" state="visible" r:id="rId5"/>
    <sheet name="Category_Analysis" sheetId="4" state="visible" r:id="rId6"/>
    <sheet name="State_Analysis" sheetId="5" state="visible" r:id="rId7"/>
    <sheet name="Delivery_Review" sheetId="6" state="visible" r:id="rId8"/>
    <sheet name="Payment_Summary" sheetId="7" state="visible" r:id="rId9"/>
    <sheet name="Source_Notes" sheetId="8" state="visible" r:id="rId10"/>
    <sheet name="Data_Category" sheetId="9" state="visible" r:id="rId11"/>
    <sheet name="Data_State" sheetId="10" state="visible" r:id="rId12"/>
    <sheet name="Data_Monthly" sheetId="11" state="visible" r:id="rId13"/>
    <sheet name="Data_Payment" sheetId="12" state="visible" r:id="rId14"/>
    <sheet name="Data_ReviewDelivery" sheetId="13" state="visible" r:id="rId15"/>
    <sheet name="Data_Sellers" sheetId="14" state="visible" r:id="rId16"/>
    <sheet name="Category_Lookup" sheetId="15" state="visible" r:id="rId17"/>
    <sheet name="Seller_Lookup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<sst xmlns="http://schemas.openxmlformats.org/spreadsheetml/2006/main" count="243" uniqueCount="177">
  <si>
    <t xml:space="preserve">E-Commerce Business Analytics Dashboard</t>
  </si>
  <si>
    <t xml:space="preserve">Portfolio-ready project: sales, customer, delivery, review, and business recommendations</t>
  </si>
  <si>
    <t xml:space="preserve">Key Insights &amp; Business Recommendations</t>
  </si>
  <si>
    <t xml:space="preserve">1. Revenue is concentrated in a few high-performing categories, led by computers_accessories, watches_gifts, and health_beauty.</t>
  </si>
  <si>
    <t xml:space="preserve">2. Late delivery is strongly related to lower review scores; orders with review score 1-3 show materially higher late delivery rates.</t>
  </si>
  <si>
    <t xml:space="preserve">3. SP, RJ, and MG generate the majority of revenue, making them priority markets for logistics and marketing optimization.</t>
  </si>
  <si>
    <t xml:space="preserve">4. Recommended action: monitor seller SLA, prioritize high-revenue categories with better fulfillment quality, and track late delivery weekly.</t>
  </si>
  <si>
    <t xml:space="preserve">metric</t>
  </si>
  <si>
    <t xml:space="preserve">value</t>
  </si>
  <si>
    <t xml:space="preserve">Total Revenue</t>
  </si>
  <si>
    <t xml:space="preserve">Delivered Orders</t>
  </si>
  <si>
    <t xml:space="preserve">Unique Customers</t>
  </si>
  <si>
    <t xml:space="preserve">Average Order Value</t>
  </si>
  <si>
    <t xml:space="preserve">Average Review Score</t>
  </si>
  <si>
    <t xml:space="preserve">Late Delivery Rate</t>
  </si>
  <si>
    <t xml:space="preserve">Average Delivery Days</t>
  </si>
  <si>
    <t xml:space="preserve">Top State (by Revenue)</t>
  </si>
  <si>
    <t xml:space="preserve">All values are live formulas referencing Data_Monthly / Data_State (imported from Python-cleaned exports). Nothing here is pasted manually.</t>
  </si>
  <si>
    <t xml:space="preserve">order_month</t>
  </si>
  <si>
    <t xml:space="preserve">revenue</t>
  </si>
  <si>
    <t xml:space="preserve">total_orders</t>
  </si>
  <si>
    <t xml:space="preserve">total_customers</t>
  </si>
  <si>
    <t xml:space="preserve">avg_review_score</t>
  </si>
  <si>
    <t xml:space="preserve">late_delivery_rate</t>
  </si>
  <si>
    <t xml:space="preserve">aov</t>
  </si>
  <si>
    <t xml:space="preserve">MoM Growth %</t>
  </si>
  <si>
    <t xml:space="preserve">Cumulative Revenue</t>
  </si>
  <si>
    <t xml:space="preserve">Values pulled live from Data_Monthly; AOV, MoM growth, and cumulative revenue are calculated with formulas, not pasted.</t>
  </si>
  <si>
    <t xml:space="preserve">product_category_name_english</t>
  </si>
  <si>
    <t xml:space="preserve">total_items</t>
  </si>
  <si>
    <t xml:space="preserve">avg_price</t>
  </si>
  <si>
    <t xml:space="preserve">avg_freight</t>
  </si>
  <si>
    <t xml:space="preserve">% of Total Revenue</t>
  </si>
  <si>
    <t xml:space="preserve">Rank</t>
  </si>
  <si>
    <t xml:space="preserve">Table is fully formula-driven: revenue rank via LARGE(), category name via INDEX/MATCH against Data_Category. No values are pasted.</t>
  </si>
  <si>
    <t xml:space="preserve">customer_state</t>
  </si>
  <si>
    <t xml:space="preserve">avg_delivery_days</t>
  </si>
  <si>
    <t xml:space="preserve">Table is fully formula-driven: revenue rank via LARGE(), state name via INDEX/MATCH against Data_State.</t>
  </si>
  <si>
    <t xml:space="preserve">review_score</t>
  </si>
  <si>
    <t xml:space="preserve">avg_delay_days</t>
  </si>
  <si>
    <t xml:space="preserve">% of Reviews</t>
  </si>
  <si>
    <t xml:space="preserve">Pulled live from Data_ReviewDelivery; % of Reviews calculated with formula.</t>
  </si>
  <si>
    <t xml:space="preserve">payment_type</t>
  </si>
  <si>
    <t xml:space="preserve">payment_value</t>
  </si>
  <si>
    <t xml:space="preserve">avg_payment</t>
  </si>
  <si>
    <t xml:space="preserve">% of Total Orders</t>
  </si>
  <si>
    <t xml:space="preserve">Pulled live from Data_Payment; avg_payment and % shares are calculated with formulas.</t>
  </si>
  <si>
    <t xml:space="preserve">Item</t>
  </si>
  <si>
    <t xml:space="preserve">Details</t>
  </si>
  <si>
    <t xml:space="preserve">Dataset used in this workbook</t>
  </si>
  <si>
    <t xml:space="preserve">Synthetic Olist-style marketplace data generated for this portfolio package because direct dataset download was unavailable in the execution environment.</t>
  </si>
  <si>
    <t xml:space="preserve">Recommended real dataset</t>
  </si>
  <si>
    <t xml:space="preserve">Brazilian E-Commerce Public Dataset by Olist</t>
  </si>
  <si>
    <t xml:space="preserve">Kaggle URL</t>
  </si>
  <si>
    <t xml:space="preserve">https://www.kaggle.com/datasets/olistbr/brazilian-ecommerce</t>
  </si>
  <si>
    <t xml:space="preserve">GitHub mirror inspected</t>
  </si>
  <si>
    <t xml:space="preserve">https://github.com/spdrio/Brazilian-E-Commerce-Public-Dataset-by-Olist</t>
  </si>
  <si>
    <t xml:space="preserve">computers_accessories</t>
  </si>
  <si>
    <t xml:space="preserve">watches_gifts</t>
  </si>
  <si>
    <t xml:space="preserve">health_beauty</t>
  </si>
  <si>
    <t xml:space="preserve">furniture_decor</t>
  </si>
  <si>
    <t xml:space="preserve">sports_leisure</t>
  </si>
  <si>
    <t xml:space="preserve">bed_bath_table</t>
  </si>
  <si>
    <t xml:space="preserve">electronics</t>
  </si>
  <si>
    <t xml:space="preserve">garden_tools</t>
  </si>
  <si>
    <t xml:space="preserve">auto</t>
  </si>
  <si>
    <t xml:space="preserve">cool_stuff</t>
  </si>
  <si>
    <t xml:space="preserve">housewares</t>
  </si>
  <si>
    <t xml:space="preserve">office_furniture</t>
  </si>
  <si>
    <t xml:space="preserve">telephony</t>
  </si>
  <si>
    <t xml:space="preserve">toys</t>
  </si>
  <si>
    <t xml:space="preserve">home_appliances</t>
  </si>
  <si>
    <t xml:space="preserve">baby</t>
  </si>
  <si>
    <t xml:space="preserve">perfumery</t>
  </si>
  <si>
    <t xml:space="preserve">pet_shop</t>
  </si>
  <si>
    <t xml:space="preserve">fashion_bags_accessories</t>
  </si>
  <si>
    <t xml:space="preserve">luggage_accessories</t>
  </si>
  <si>
    <t xml:space="preserve">audio</t>
  </si>
  <si>
    <t xml:space="preserve">stationery</t>
  </si>
  <si>
    <t xml:space="preserve">musical_instruments</t>
  </si>
  <si>
    <t xml:space="preserve">books_general_interest</t>
  </si>
  <si>
    <t xml:space="preserve">food</t>
  </si>
  <si>
    <t xml:space="preserve">Source: Python ETL output (data/cleaned/*.csv), generated by run_analysis.py from raw Olist-style transactional data.</t>
  </si>
  <si>
    <t xml:space="preserve">SP</t>
  </si>
  <si>
    <t xml:space="preserve">RJ</t>
  </si>
  <si>
    <t xml:space="preserve">MG</t>
  </si>
  <si>
    <t xml:space="preserve">PR</t>
  </si>
  <si>
    <t xml:space="preserve">RS</t>
  </si>
  <si>
    <t xml:space="preserve">SC</t>
  </si>
  <si>
    <t xml:space="preserve">BA</t>
  </si>
  <si>
    <t xml:space="preserve">DF</t>
  </si>
  <si>
    <t xml:space="preserve">GO</t>
  </si>
  <si>
    <t xml:space="preserve">PE</t>
  </si>
  <si>
    <t xml:space="preserve">CE</t>
  </si>
  <si>
    <t xml:space="preserve">ES</t>
  </si>
  <si>
    <t xml:space="preserve">PA</t>
  </si>
  <si>
    <t xml:space="preserve">MT</t>
  </si>
  <si>
    <t xml:space="preserve">MA</t>
  </si>
  <si>
    <t xml:space="preserve">MS</t>
  </si>
  <si>
    <t xml:space="preserve">RN</t>
  </si>
  <si>
    <t xml:space="preserve">PB</t>
  </si>
  <si>
    <t xml:space="preserve">PI</t>
  </si>
  <si>
    <t xml:space="preserve">AL</t>
  </si>
  <si>
    <t xml:space="preserve">SE</t>
  </si>
  <si>
    <t xml:space="preserve">RO</t>
  </si>
  <si>
    <t xml:space="preserve">TO</t>
  </si>
  <si>
    <t xml:space="preserve">AM</t>
  </si>
  <si>
    <t xml:space="preserve">AC</t>
  </si>
  <si>
    <t xml:space="preserve">AP</t>
  </si>
  <si>
    <t xml:space="preserve">RR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</si>
  <si>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</si>
  <si>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</si>
  <si>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</si>
  <si>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</si>
  <si>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</si>
  <si>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</si>
  <si>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</si>
  <si>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</si>
  <si>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</si>
  <si>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</si>
  <si>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</si>
  <si>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</si>
  <si>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</si>
  <si>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</si>
  <si>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</si>
  <si>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</si>
  <si>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</si>
  <si>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</si>
  <si>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</si>
  <si>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</si>
  <si>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</si>
  <si>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</si>
  <si>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</si>
  <si>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</si>
  <si>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credit_card</t>
  </si>
  <si>
    <t xml:space="preserve">boleto</t>
  </si>
  <si>
    <t xml:space="preserve">voucher</t>
  </si>
  <si>
    <t xml:space="preserve">debit_card</t>
  </si>
  <si>
    <t xml:space="preserve">seller_rank</t>
  </si>
  <si>
    <t xml:space="preserve">seller_id</t>
  </si>
  <si>
    <t xml:space="preserve">a2ace083ea81f073ff464af92707ad18</t>
  </si>
  <si>
    <t xml:space="preserve">9b408b290e7f437646d16d4859a06615</t>
  </si>
  <si>
    <t xml:space="preserve">5c7ecd2024c7a9f2af88e3a12cd17e00</t>
  </si>
  <si>
    <t xml:space="preserve">cab3cb7599eba8553e5d4a3c0bed5fcf</t>
  </si>
  <si>
    <t xml:space="preserve">6f386a57fc43342bbae757552e8050b4</t>
  </si>
  <si>
    <t xml:space="preserve">ddeff2d0c907c3d78fb2c5e30f00bfcd</t>
  </si>
  <si>
    <t xml:space="preserve">994845c1f54e0d515f90673c681ca16a</t>
  </si>
  <si>
    <t xml:space="preserve">5805de5f2475009eedf62f3b9bfd4341</t>
  </si>
  <si>
    <t xml:space="preserve">2a1dea957904ba6361d5f07ee116f5c8</t>
  </si>
  <si>
    <t xml:space="preserve">7ff411acb259d151dc27023067cb42ed</t>
  </si>
  <si>
    <t xml:space="preserve">b6cdf2fbe25fb2b09bbe19a3d81cd46d</t>
  </si>
  <si>
    <t xml:space="preserve">626bbd5a1d589dcd8954a012fba932bf</t>
  </si>
  <si>
    <t xml:space="preserve">024ffe729f8b6a71f058dd2bc942588a</t>
  </si>
  <si>
    <t xml:space="preserve">897b41f3c5e9ccb33f913b286228cc14</t>
  </si>
  <si>
    <t xml:space="preserve">017b29618872e73e7fe5209b1b70b710</t>
  </si>
  <si>
    <t xml:space="preserve">c88bcb3f4987ef0bc2050baf8e1ebd95</t>
  </si>
  <si>
    <t xml:space="preserve">71386ac3241589675817d4844149df0f</t>
  </si>
  <si>
    <t xml:space="preserve">0c2f26d427f1d1690ba74a130c4d0a2a</t>
  </si>
  <si>
    <t xml:space="preserve">700ce61f7b04284654a40a3cda6c4b49</t>
  </si>
  <si>
    <t xml:space="preserve">753fe7a770e46081e7eda392e4d1ca67</t>
  </si>
  <si>
    <t xml:space="preserve">Category Lookup Tool</t>
  </si>
  <si>
    <t xml:space="preserve">Pick a category from the dropdown (yellow cell) to see its live metrics.</t>
  </si>
  <si>
    <t xml:space="preserve">Select Category:</t>
  </si>
  <si>
    <t xml:space="preserve">Revenue</t>
  </si>
  <si>
    <t xml:space="preserve">Total Orders</t>
  </si>
  <si>
    <t xml:space="preserve">Total Items</t>
  </si>
  <si>
    <t xml:space="preserve">Avg Price</t>
  </si>
  <si>
    <t xml:space="preserve">Avg Freight</t>
  </si>
  <si>
    <t xml:space="preserve">Avg Review Score</t>
  </si>
  <si>
    <t xml:space="preserve">Rank by Revenue</t>
  </si>
  <si>
    <t xml:space="preserve">Built with INDEX/MATCH (functional equivalent of XLOOKUP; used instead for wider Excel-version compatibility).</t>
  </si>
  <si>
    <t xml:space="preserve">Seller Lookup Tool</t>
  </si>
  <si>
    <t xml:space="preserve">Pick a seller rank (1 = highest revenue) from the dropdown to see that seller's metrics.</t>
  </si>
  <si>
    <t xml:space="preserve">Select Seller Rank (1-20):</t>
  </si>
  <si>
    <t xml:space="preserve">Seller ID</t>
  </si>
  <si>
    <t xml:space="preserve">Avg Delivery Days</t>
  </si>
  <si>
    <t xml:space="preserve">Lookup by seller_rank (1-20) since raw seller_id values are long hashes; rank added in Data_Sellers for a friendlier interactive demo.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</si>
</sst>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0%"/>
    <numFmt numFmtId="167" formatCode="0.00"/>
    <numFmt numFmtId="168" formatCode="#,##0"/>
    <numFmt numFmtId="169" formatCode="0.0%"/>
    <numFmt numFmtId="170" formatCode="0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40404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name val="Calibri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56082"/>
      </patternFill>
    </fill>
    <fill>
      <patternFill patternType="solid">
        <fgColor rgb="FFD9EAF7"/>
        <bgColor rgb="FFD9D9D9"/>
      </patternFill>
    </fill>
    <fill>
      <patternFill patternType="solid">
        <fgColor rgb="FFD9D9D9"/>
        <bgColor rgb="FFCCCC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B8B8B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Monthly_Revenue!$A$2:$A$25</c:f>
              <c:strCache>
                <c:ptCount val="24"/>
                <c:pt idx="0">
                  <c:v>2016-09</c:v>
                </c:pt>
                <c:pt idx="1">
                  <c:v>2016-10</c:v>
                </c:pt>
                <c:pt idx="2">
                  <c:v>2016-11</c:v>
                </c:pt>
                <c:pt idx="3">
                  <c:v>2016-12</c:v>
                </c:pt>
                <c:pt idx="4">
                  <c:v>2017-01</c:v>
                </c:pt>
                <c:pt idx="5">
                  <c:v>2017-02</c:v>
                </c:pt>
                <c:pt idx="6">
                  <c:v>2017-03</c:v>
                </c:pt>
                <c:pt idx="7">
                  <c:v>2017-04</c:v>
                </c:pt>
                <c:pt idx="8">
                  <c:v>2017-05</c:v>
                </c:pt>
                <c:pt idx="9">
                  <c:v>2017-06</c:v>
                </c:pt>
                <c:pt idx="10">
                  <c:v>2017-07</c:v>
                </c:pt>
                <c:pt idx="11">
                  <c:v>2017-08</c:v>
                </c:pt>
                <c:pt idx="12">
                  <c:v>2017-09</c:v>
                </c:pt>
                <c:pt idx="13">
                  <c:v>2017-10</c:v>
                </c:pt>
                <c:pt idx="14">
                  <c:v>2017-11</c:v>
                </c:pt>
                <c:pt idx="15">
                  <c:v>2017-12</c:v>
                </c:pt>
                <c:pt idx="16">
                  <c:v>2018-01</c:v>
                </c:pt>
                <c:pt idx="17">
                  <c:v>2018-02</c:v>
                </c:pt>
                <c:pt idx="18">
                  <c:v>2018-03</c:v>
                </c:pt>
                <c:pt idx="19">
                  <c:v>2018-04</c:v>
                </c:pt>
                <c:pt idx="20">
                  <c:v>2018-05</c:v>
                </c:pt>
                <c:pt idx="21">
                  <c:v>2018-06</c:v>
                </c:pt>
                <c:pt idx="22">
                  <c:v>2018-07</c:v>
                </c:pt>
                <c:pt idx="23">
                  <c:v>2018-08</c:v>
                </c:pt>
              </c:strCache>
            </c:strRef>
          </c:cat>
          <c:val>
            <c:numRef>
              <c:f>Monthly_Revenue!$B$2:$B$25</c:f>
              <c:numCache>
                <c:formatCode>#,##0.00</c:formatCode>
                <c:ptCount val="24"/>
                <c:pt idx="0">
                  <c:v>24367.4</c:v>
                </c:pt>
                <c:pt idx="1">
                  <c:v>79530.25</c:v>
                </c:pt>
                <c:pt idx="2">
                  <c:v>143085.49</c:v>
                </c:pt>
                <c:pt idx="3">
                  <c:v>216396.36</c:v>
                </c:pt>
                <c:pt idx="4">
                  <c:v>289073.93</c:v>
                </c:pt>
                <c:pt idx="5">
                  <c:v>339718.38</c:v>
                </c:pt>
                <c:pt idx="6">
                  <c:v>438741.8</c:v>
                </c:pt>
                <c:pt idx="7">
                  <c:v>509440.18</c:v>
                </c:pt>
                <c:pt idx="8">
                  <c:v>582457</c:v>
                </c:pt>
                <c:pt idx="9">
                  <c:v>636554.15</c:v>
                </c:pt>
                <c:pt idx="10">
                  <c:v>746312.1</c:v>
                </c:pt>
                <c:pt idx="11">
                  <c:v>786994.01</c:v>
                </c:pt>
                <c:pt idx="12">
                  <c:v>862952.5</c:v>
                </c:pt>
                <c:pt idx="13">
                  <c:v>945719.03</c:v>
                </c:pt>
                <c:pt idx="14">
                  <c:v>993073.52</c:v>
                </c:pt>
                <c:pt idx="15">
                  <c:v>1078616.11</c:v>
                </c:pt>
                <c:pt idx="16">
                  <c:v>1143991.9</c:v>
                </c:pt>
                <c:pt idx="17">
                  <c:v>1074526.46</c:v>
                </c:pt>
                <c:pt idx="18">
                  <c:v>1219838.97</c:v>
                </c:pt>
                <c:pt idx="19">
                  <c:v>1195857.76</c:v>
                </c:pt>
                <c:pt idx="20">
                  <c:v>1261380.07</c:v>
                </c:pt>
                <c:pt idx="21">
                  <c:v>1212695.05</c:v>
                </c:pt>
                <c:pt idx="22">
                  <c:v>1156935.68</c:v>
                </c:pt>
                <c:pt idx="23">
                  <c:v>962267.57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951923"/>
        <c:axId val="50798452"/>
      </c:lineChart>
      <c:catAx>
        <c:axId val="2095192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798452"/>
        <c:crosses val="autoZero"/>
        <c:auto val="1"/>
        <c:lblAlgn val="ctr"/>
        <c:lblOffset val="100"/>
        <c:noMultiLvlLbl val="0"/>
      </c:catAx>
      <c:valAx>
        <c:axId val="5079845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09519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Top 10 Categories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Category_Analysis!$A$2:$A$11</c:f>
              <c:strCache>
                <c:ptCount val="10"/>
                <c:pt idx="0">
                  <c:v>computers_accessories</c:v>
                </c:pt>
                <c:pt idx="1">
                  <c:v>watches_gifts</c:v>
                </c:pt>
                <c:pt idx="2">
                  <c:v>health_beauty</c:v>
                </c:pt>
                <c:pt idx="3">
                  <c:v>furniture_decor</c:v>
                </c:pt>
                <c:pt idx="4">
                  <c:v>sports_leisure</c:v>
                </c:pt>
                <c:pt idx="5">
                  <c:v>bed_bath_table</c:v>
                </c:pt>
                <c:pt idx="6">
                  <c:v>electronics</c:v>
                </c:pt>
                <c:pt idx="7">
                  <c:v>garden_tools</c:v>
                </c:pt>
                <c:pt idx="8">
                  <c:v>auto</c:v>
                </c:pt>
                <c:pt idx="9">
                  <c:v>cool_stuff</c:v>
                </c:pt>
              </c:strCache>
            </c:strRef>
          </c:cat>
          <c:val>
            <c:numRef>
              <c:f>Category_Analysis!$B$2:$B$11</c:f>
              <c:numCache>
                <c:formatCode>#,##0.00</c:formatCode>
                <c:ptCount val="10"/>
                <c:pt idx="0">
                  <c:v>1685925.43</c:v>
                </c:pt>
                <c:pt idx="1">
                  <c:v>1508123.28</c:v>
                </c:pt>
                <c:pt idx="2">
                  <c:v>1432652.7</c:v>
                </c:pt>
                <c:pt idx="3">
                  <c:v>1424562.88</c:v>
                </c:pt>
                <c:pt idx="4">
                  <c:v>1273178.44</c:v>
                </c:pt>
                <c:pt idx="5">
                  <c:v>1214319.13</c:v>
                </c:pt>
                <c:pt idx="6">
                  <c:v>928428.79</c:v>
                </c:pt>
                <c:pt idx="7">
                  <c:v>865718.48</c:v>
                </c:pt>
                <c:pt idx="8">
                  <c:v>858355.87</c:v>
                </c:pt>
                <c:pt idx="9">
                  <c:v>810594.84</c:v>
                </c:pt>
              </c:numCache>
            </c:numRef>
          </c:val>
        </c:ser>
        <c:gapWidth val="150"/>
        <c:overlap val="0"/>
        <c:axId val="25057278"/>
        <c:axId val="72276275"/>
      </c:barChart>
      <c:catAx>
        <c:axId val="2505727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2276275"/>
        <c:crosses val="autoZero"/>
        <c:auto val="1"/>
        <c:lblAlgn val="ctr"/>
        <c:lblOffset val="100"/>
        <c:noMultiLvlLbl val="0"/>
      </c:catAx>
      <c:valAx>
        <c:axId val="7227627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50572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"Late Delivery Rate"</c:f>
              <c:strCache>
                <c:ptCount val="1"/>
                <c:pt idx="0">
                  <c:v>Late Delivery Rate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Delivery_Review!$A$2:$A$6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Delivery_Review!$E$2:$E$6</c:f>
              <c:numCache>
                <c:formatCode>0.00%</c:formatCode>
                <c:ptCount val="5"/>
                <c:pt idx="0">
                  <c:v>0.477820468040517</c:v>
                </c:pt>
                <c:pt idx="1">
                  <c:v>0.542200452147702</c:v>
                </c:pt>
                <c:pt idx="2">
                  <c:v>0.533278082366441</c:v>
                </c:pt>
                <c:pt idx="3">
                  <c:v>0.284462185967805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0891882"/>
        <c:axId val="6324355"/>
      </c:barChart>
      <c:catAx>
        <c:axId val="1089188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324355"/>
        <c:crosses val="autoZero"/>
        <c:auto val="1"/>
        <c:lblAlgn val="ctr"/>
        <c:lblOffset val="100"/>
        <c:noMultiLvlLbl val="0"/>
      </c:catAx>
      <c:valAx>
        <c:axId val="632435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08918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Top 10 Customer States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State_Analysis!$A$2:$A$11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PR</c:v>
                </c:pt>
                <c:pt idx="4">
                  <c:v>RS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PE</c:v>
                </c:pt>
              </c:strCache>
            </c:strRef>
          </c:cat>
          <c:val>
            <c:numRef>
              <c:f>State_Analysis!$B$2:$B$11</c:f>
              <c:numCache>
                <c:formatCode>#,##0.00</c:formatCode>
                <c:ptCount val="10"/>
                <c:pt idx="0">
                  <c:v>7350781.42</c:v>
                </c:pt>
                <c:pt idx="1">
                  <c:v>2301497.47</c:v>
                </c:pt>
                <c:pt idx="2">
                  <c:v>1931898.96</c:v>
                </c:pt>
                <c:pt idx="3">
                  <c:v>1040173.89</c:v>
                </c:pt>
                <c:pt idx="4">
                  <c:v>1032167.07</c:v>
                </c:pt>
                <c:pt idx="5">
                  <c:v>675687.66</c:v>
                </c:pt>
                <c:pt idx="6">
                  <c:v>637932.59</c:v>
                </c:pt>
                <c:pt idx="7">
                  <c:v>442969.55</c:v>
                </c:pt>
                <c:pt idx="8">
                  <c:v>367749.68</c:v>
                </c:pt>
                <c:pt idx="9">
                  <c:v>329110.58</c:v>
                </c:pt>
              </c:numCache>
            </c:numRef>
          </c:val>
        </c:ser>
        <c:gapWidth val="150"/>
        <c:overlap val="0"/>
        <c:axId val="58724198"/>
        <c:axId val="53164140"/>
      </c:barChart>
      <c:catAx>
        <c:axId val="5872419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3164140"/>
        <c:crosses val="autoZero"/>
        <c:auto val="1"/>
        <c:lblAlgn val="ctr"/>
        <c:lblOffset val="100"/>
        <c:noMultiLvlLbl val="0"/>
      </c:catAx>
      <c:valAx>
        <c:axId val="5316414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87241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6</xdr:col>
      <xdr:colOff>984240</xdr:colOff>
      <xdr:row>34</xdr:row>
      <xdr:rowOff>188280</xdr:rowOff>
    </xdr:to>
    <xdr:graphicFrame>
      <xdr:nvGraphicFramePr>
        <xdr:cNvPr id="0" name="Chart 1"/>
        <xdr:cNvGraphicFramePr/>
      </xdr:nvGraphicFramePr>
      <xdr:xfrm>
        <a:off x="0" y="5229360"/>
        <a:ext cx="6905160" cy="342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13</xdr:col>
      <xdr:colOff>984240</xdr:colOff>
      <xdr:row>34</xdr:row>
      <xdr:rowOff>188280</xdr:rowOff>
    </xdr:to>
    <xdr:graphicFrame>
      <xdr:nvGraphicFramePr>
        <xdr:cNvPr id="1" name="Chart 2"/>
        <xdr:cNvGraphicFramePr/>
      </xdr:nvGraphicFramePr>
      <xdr:xfrm>
        <a:off x="6907680" y="5229360"/>
        <a:ext cx="6904800" cy="342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6</xdr:col>
      <xdr:colOff>984240</xdr:colOff>
      <xdr:row>53</xdr:row>
      <xdr:rowOff>187920</xdr:rowOff>
    </xdr:to>
    <xdr:graphicFrame>
      <xdr:nvGraphicFramePr>
        <xdr:cNvPr id="2" name="Chart 3"/>
        <xdr:cNvGraphicFramePr/>
      </xdr:nvGraphicFramePr>
      <xdr:xfrm>
        <a:off x="0" y="8848800"/>
        <a:ext cx="6905160" cy="342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36</xdr:row>
      <xdr:rowOff>0</xdr:rowOff>
    </xdr:from>
    <xdr:to>
      <xdr:col>13</xdr:col>
      <xdr:colOff>984240</xdr:colOff>
      <xdr:row>53</xdr:row>
      <xdr:rowOff>187920</xdr:rowOff>
    </xdr:to>
    <xdr:graphicFrame>
      <xdr:nvGraphicFramePr>
        <xdr:cNvPr id="3" name="Chart 4"/>
        <xdr:cNvGraphicFramePr/>
      </xdr:nvGraphicFramePr>
      <xdr:xfrm>
        <a:off x="6907680" y="8848800"/>
        <a:ext cx="6904800" cy="342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tegory_Table" displayName="Category_Table" ref="A1:H26" headerRowCount="1" totalsRowCount="0" totalsRowShown="0">
  <tableColumns count="8">
    <tableColumn id="1" name="product_category_name_english"/>
    <tableColumn id="2" name="revenue"/>
    <tableColumn id="3" name="total_orders"/>
    <tableColumn id="4" name="total_items"/>
    <tableColumn id="5" name="avg_price"/>
    <tableColumn id="6" name="avg_freight"/>
    <tableColumn id="7" name="avg_review_score"/>
    <tableColumn id="8" name="late_delivery_rate"/>
  </tableColumns>
</table>
</file>

<file path=xl/tables/table2.xml><?xml version="1.0" encoding="utf-8"?>
<table xmlns="http://schemas.openxmlformats.org/spreadsheetml/2006/main" id="2" name="Delivery_Table" displayName="Delivery_Table" ref="A1:E6" headerRowCount="1" totalsRowCount="0" totalsRowShown="0">
  <tableColumns count="5">
    <tableColumn id="1" name="review_score"/>
    <tableColumn id="2" name="total_orders"/>
    <tableColumn id="3" name="avg_delivery_days"/>
    <tableColumn id="4" name="avg_delay_days"/>
    <tableColumn id="5" name="late_delivery_rate"/>
  </tableColumns>
</table>
</file>

<file path=xl/tables/table3.xml><?xml version="1.0" encoding="utf-8"?>
<table xmlns="http://schemas.openxmlformats.org/spreadsheetml/2006/main" id="3" name="KPI_Table" displayName="KPI_Table" ref="A1:B8" headerRowCount="1" totalsRowCount="0" totalsRowShown="0">
  <tableColumns count="2">
    <tableColumn id="1" name="metric"/>
    <tableColumn id="2" name="value"/>
  </tableColumns>
</table>
</file>

<file path=xl/tables/table4.xml><?xml version="1.0" encoding="utf-8"?>
<table xmlns="http://schemas.openxmlformats.org/spreadsheetml/2006/main" id="4" name="Monthly_Table" displayName="Monthly_Table" ref="A1:F25" headerRowCount="1" totalsRowCount="0" totalsRowShown="0">
  <tableColumns count="6">
    <tableColumn id="1" name="order_month"/>
    <tableColumn id="2" name="revenue"/>
    <tableColumn id="3" name="total_orders"/>
    <tableColumn id="4" name="total_customers"/>
    <tableColumn id="5" name="avg_review_score"/>
    <tableColumn id="6" name="late_delivery_rate"/>
  </tableColumns>
</table>
</file>

<file path=xl/tables/table5.xml><?xml version="1.0" encoding="utf-8"?>
<table xmlns="http://schemas.openxmlformats.org/spreadsheetml/2006/main" id="5" name="Payment_Table" displayName="Payment_Table" ref="A1:D5" headerRowCount="1" totalsRowCount="0" totalsRowShown="0">
  <tableColumns count="4">
    <tableColumn id="1" name="payment_type"/>
    <tableColumn id="2" name="total_orders"/>
    <tableColumn id="3" name="payment_value"/>
    <tableColumn id="4" name="avg_payment"/>
  </tableColumns>
</table>
</file>

<file path=xl/tables/table6.xml><?xml version="1.0" encoding="utf-8"?>
<table xmlns="http://schemas.openxmlformats.org/spreadsheetml/2006/main" id="6" name="State_Table" displayName="State_Table" ref="A1:H28" headerRowCount="1" totalsRowCount="0" totalsRowShown="0">
  <tableColumns count="8">
    <tableColumn id="1" name="customer_state"/>
    <tableColumn id="2" name="revenue"/>
    <tableColumn id="3" name="total_orders"/>
    <tableColumn id="4" name="total_customers"/>
    <tableColumn id="5" name="avg_delivery_days"/>
    <tableColumn id="6" name="late_delivery_rate"/>
    <tableColumn id="7" name="avg_review_score"/>
    <tableColumn id="8" name="aov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1" width="1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54" hidden="false" customHeight="true" outlineLevel="0" collapsed="false">
      <c r="A4" s="4" t="str">
        <f aca="false">"Total Revenue"&amp;CHAR(10)&amp;TEXT(KPI_Data!B2,"#,##0.00")</f>
        <v>Total Revenue
17,900,525.67</v>
      </c>
      <c r="B4" s="4"/>
      <c r="C4" s="4"/>
      <c r="D4" s="4" t="str">
        <f aca="false">"Delivered Orders"&amp;CHAR(10)&amp;TEXT(KPI_Data!B3,"#,##0")</f>
        <v>Delivered Orders
96,551</v>
      </c>
      <c r="E4" s="4"/>
      <c r="F4" s="4"/>
      <c r="G4" s="4" t="str">
        <f aca="false">"Avg Order Value"&amp;CHAR(10)&amp;TEXT(KPI_Data!B5,"#,##0.00")</f>
        <v>Avg Order Value
185.40</v>
      </c>
      <c r="H4" s="4"/>
      <c r="I4" s="4"/>
      <c r="J4" s="4" t="str">
        <f aca="false">"Avg Review Score"&amp;CHAR(10)&amp;TEXT(KPI_Data!B6,"0.00")</f>
        <v>Avg Review Score
3.83</v>
      </c>
      <c r="K4" s="4"/>
      <c r="L4" s="4"/>
    </row>
    <row r="5" customFormat="false" ht="1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8" customFormat="false" ht="54" hidden="false" customHeight="true" outlineLevel="0" collapsed="false">
      <c r="A8" s="4" t="str">
        <f aca="false">"Late Delivery Rate"&amp;CHAR(10)&amp;TEXT(KPI_Data!B7,"0.0%")</f>
        <v>Late Delivery Rate
24.2%</v>
      </c>
      <c r="B8" s="4"/>
      <c r="C8" s="4"/>
      <c r="D8" s="4" t="str">
        <f aca="false">"Avg Delivery Days"&amp;CHAR(10)&amp;TEXT(KPI_Data!B8,"0.00")</f>
        <v>Avg Delivery Days
9.15</v>
      </c>
      <c r="E8" s="4"/>
      <c r="F8" s="4"/>
      <c r="G8" s="4" t="str">
        <f aca="false">"Unique Customers"&amp;CHAR(10)&amp;TEXT(KPI_Data!B4,"#,##0")</f>
        <v>Unique Customers
96,551</v>
      </c>
      <c r="H8" s="4"/>
      <c r="I8" s="4"/>
      <c r="J8" s="4" t="str">
        <f aca="false">"Top State"&amp;CHAR(10)&amp;KPI_Data!B9</f>
        <v>Top State
SP</v>
      </c>
      <c r="K8" s="4"/>
      <c r="L8" s="4"/>
    </row>
    <row r="9" customFormat="false" ht="1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2" customFormat="false" ht="15" hidden="false" customHeight="true" outlineLevel="0" collapsed="false">
      <c r="A12" s="5" t="s">
        <v>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31.5" hidden="false" customHeight="true" outlineLevel="0" collapsed="false">
      <c r="A13" s="6" t="s">
        <v>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customFormat="false" ht="31.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customFormat="false" ht="31.5" hidden="false" customHeight="true" outlineLevel="0" collapsed="false">
      <c r="A15" s="6" t="s">
        <v>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customFormat="false" ht="31.5" hidden="false" customHeight="true" outlineLevel="0" collapsed="false">
      <c r="A16" s="6" t="s">
        <v>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</sheetData>
  <mergeCells count="15">
    <mergeCell ref="A1:N1"/>
    <mergeCell ref="A2:N2"/>
    <mergeCell ref="A4:C6"/>
    <mergeCell ref="D4:F6"/>
    <mergeCell ref="G4:I6"/>
    <mergeCell ref="J4:L6"/>
    <mergeCell ref="A8:C10"/>
    <mergeCell ref="D8:F10"/>
    <mergeCell ref="G8:I10"/>
    <mergeCell ref="J8:L10"/>
    <mergeCell ref="A12:N12"/>
    <mergeCell ref="A13:N13"/>
    <mergeCell ref="A14:N14"/>
    <mergeCell ref="A15:N15"/>
    <mergeCell ref="A16:N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63"/>
    <col collapsed="false" customWidth="true" hidden="false" outlineLevel="0" max="2" min="2" style="1" width="10.36"/>
  </cols>
  <sheetData>
    <row r="1" customFormat="false" ht="15" hidden="false" customHeight="true" outlineLevel="0" collapsed="false">
      <c r="A1" s="7" t="s">
        <v>7</v>
      </c>
      <c r="B1" s="7" t="s">
        <v>8</v>
      </c>
    </row>
    <row r="2" customFormat="false" ht="15" hidden="false" customHeight="true" outlineLevel="0" collapsed="false">
      <c r="A2" s="1" t="s">
        <v>9</v>
      </c>
      <c r="B2" s="8" t="n">
        <f aca="false">SUM(Data_Monthly!B2:B25)</f>
        <v>17900525.67</v>
      </c>
    </row>
    <row r="3" customFormat="false" ht="15" hidden="false" customHeight="true" outlineLevel="0" collapsed="false">
      <c r="A3" s="1" t="s">
        <v>10</v>
      </c>
      <c r="B3" s="8" t="n">
        <f aca="false">SUM(Data_Monthly!C2:C25)</f>
        <v>96551</v>
      </c>
    </row>
    <row r="4" customFormat="false" ht="15" hidden="false" customHeight="true" outlineLevel="0" collapsed="false">
      <c r="A4" s="1" t="s">
        <v>11</v>
      </c>
      <c r="B4" s="8" t="n">
        <f aca="false">SUM(Data_Monthly!D2:D25)</f>
        <v>96551</v>
      </c>
    </row>
    <row r="5" customFormat="false" ht="15" hidden="false" customHeight="true" outlineLevel="0" collapsed="false">
      <c r="A5" s="1" t="s">
        <v>12</v>
      </c>
      <c r="B5" s="8" t="n">
        <f aca="false">B2/B3</f>
        <v>185.399692079833</v>
      </c>
    </row>
    <row r="6" customFormat="false" ht="15" hidden="false" customHeight="true" outlineLevel="0" collapsed="false">
      <c r="A6" s="1" t="s">
        <v>13</v>
      </c>
      <c r="B6" s="8" t="n">
        <f aca="false">SUMPRODUCT(Data_Monthly!E2:E25,Data_Monthly!C2:C25)/SUM(Data_Monthly!C2:C25)</f>
        <v>3.83282308724904</v>
      </c>
    </row>
    <row r="7" customFormat="false" ht="15" hidden="false" customHeight="true" outlineLevel="0" collapsed="false">
      <c r="A7" s="1" t="s">
        <v>14</v>
      </c>
      <c r="B7" s="8" t="n">
        <f aca="false">SUMPRODUCT(Data_Monthly!F2:F25,Data_Monthly!C2:C25)/SUM(Data_Monthly!C2:C25)</f>
        <v>0.242141590138646</v>
      </c>
    </row>
    <row r="8" customFormat="false" ht="15" hidden="false" customHeight="true" outlineLevel="0" collapsed="false">
      <c r="A8" s="1" t="s">
        <v>15</v>
      </c>
      <c r="B8" s="8" t="n">
        <f aca="false">SUMPRODUCT(Data_State!E2:E28,Data_State!C2:C28)/SUM(Data_State!C2:C28)</f>
        <v>9.1498097108326</v>
      </c>
    </row>
    <row r="9" customFormat="false" ht="15" hidden="false" customHeight="true" outlineLevel="0" collapsed="false">
      <c r="A9" s="1" t="s">
        <v>16</v>
      </c>
      <c r="B9" s="1" t="str">
        <f aca="false">INDEX(Data_State!A2:A28,MATCH(MAX(Data_State!B2:B28),Data_State!B2:B28,0))</f>
        <v>SP</v>
      </c>
    </row>
    <row r="11" customFormat="false" ht="15" hidden="false" customHeight="true" outlineLevel="0" collapsed="false">
      <c r="A11" s="1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59"/>
    <col collapsed="false" customWidth="true" hidden="false" outlineLevel="0" max="2" min="2" style="1" width="9.42"/>
    <col collapsed="false" customWidth="true" hidden="false" outlineLevel="0" max="3" min="3" style="1" width="12.65"/>
    <col collapsed="false" customWidth="true" hidden="false" outlineLevel="0" max="4" min="4" style="1" width="15.88"/>
    <col collapsed="false" customWidth="true" hidden="false" outlineLevel="0" max="5" min="5" style="1" width="17.23"/>
    <col collapsed="false" customWidth="true" hidden="false" outlineLevel="0" max="6" min="6" style="1" width="17.5"/>
  </cols>
  <sheetData>
    <row r="1" customFormat="false" ht="15" hidden="false" customHeight="true" outlineLevel="0" collapsed="false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10" t="s">
        <v>24</v>
      </c>
      <c r="H1" s="10" t="s">
        <v>25</v>
      </c>
      <c r="I1" s="10" t="s">
        <v>26</v>
      </c>
    </row>
    <row r="2" customFormat="false" ht="15" hidden="false" customHeight="true" outlineLevel="0" collapsed="false">
      <c r="A2" s="1" t="str">
        <f aca="false">Data_Monthly!A2</f>
        <v>2016-09</v>
      </c>
      <c r="B2" s="11" t="n">
        <f aca="false">Data_Monthly!B2</f>
        <v>24367.4</v>
      </c>
      <c r="C2" s="12" t="n">
        <f aca="false">Data_Monthly!C2</f>
        <v>120</v>
      </c>
      <c r="D2" s="1" t="n">
        <f aca="false">Data_Monthly!D2</f>
        <v>120</v>
      </c>
      <c r="E2" s="13" t="n">
        <f aca="false">Data_Monthly!E2</f>
        <v>3.50704225352113</v>
      </c>
      <c r="F2" s="11" t="n">
        <f aca="false">Data_Monthly!F2</f>
        <v>0.288732394366197</v>
      </c>
      <c r="G2" s="1" t="n">
        <f aca="false">B2/C2</f>
        <v>203.061666666667</v>
      </c>
      <c r="I2" s="14" t="n">
        <f aca="false">B2</f>
        <v>24367.4</v>
      </c>
    </row>
    <row r="3" customFormat="false" ht="15" hidden="false" customHeight="true" outlineLevel="0" collapsed="false">
      <c r="A3" s="1" t="str">
        <f aca="false">Data_Monthly!A3</f>
        <v>2016-10</v>
      </c>
      <c r="B3" s="11" t="n">
        <f aca="false">Data_Monthly!B3</f>
        <v>79530.25</v>
      </c>
      <c r="C3" s="12" t="n">
        <f aca="false">Data_Monthly!C3</f>
        <v>430</v>
      </c>
      <c r="D3" s="1" t="n">
        <f aca="false">Data_Monthly!D3</f>
        <v>430</v>
      </c>
      <c r="E3" s="13" t="n">
        <f aca="false">Data_Monthly!E3</f>
        <v>3.75347912524851</v>
      </c>
      <c r="F3" s="11" t="n">
        <f aca="false">Data_Monthly!F3</f>
        <v>0.26441351888668</v>
      </c>
      <c r="G3" s="1" t="n">
        <f aca="false">B3/C3</f>
        <v>184.954069767442</v>
      </c>
      <c r="H3" s="15" t="n">
        <f aca="false">IFERROR((B3-B2)/B2,"")</f>
        <v>2.26379712238483</v>
      </c>
      <c r="I3" s="1" t="n">
        <f aca="false">I2+B3</f>
        <v>103897.65</v>
      </c>
    </row>
    <row r="4" customFormat="false" ht="15" hidden="false" customHeight="true" outlineLevel="0" collapsed="false">
      <c r="A4" s="1" t="str">
        <f aca="false">Data_Monthly!A4</f>
        <v>2016-11</v>
      </c>
      <c r="B4" s="11" t="n">
        <f aca="false">Data_Monthly!B4</f>
        <v>143085.49</v>
      </c>
      <c r="C4" s="12" t="n">
        <f aca="false">Data_Monthly!C4</f>
        <v>755</v>
      </c>
      <c r="D4" s="1" t="n">
        <f aca="false">Data_Monthly!D4</f>
        <v>755</v>
      </c>
      <c r="E4" s="13" t="n">
        <f aca="false">Data_Monthly!E4</f>
        <v>3.89576174112257</v>
      </c>
      <c r="F4" s="11" t="n">
        <f aca="false">Data_Monthly!F4</f>
        <v>0.225658648339061</v>
      </c>
      <c r="G4" s="1" t="n">
        <f aca="false">B4/C4</f>
        <v>189.517205298013</v>
      </c>
      <c r="H4" s="15" t="n">
        <f aca="false">IFERROR((B4-B3)/B3,"")</f>
        <v>0.799132908547377</v>
      </c>
      <c r="I4" s="1" t="n">
        <f aca="false">I3+B4</f>
        <v>246983.14</v>
      </c>
    </row>
    <row r="5" customFormat="false" ht="15" hidden="false" customHeight="true" outlineLevel="0" collapsed="false">
      <c r="A5" s="1" t="str">
        <f aca="false">Data_Monthly!A5</f>
        <v>2016-12</v>
      </c>
      <c r="B5" s="11" t="n">
        <f aca="false">Data_Monthly!B5</f>
        <v>216396.36</v>
      </c>
      <c r="C5" s="12" t="n">
        <f aca="false">Data_Monthly!C5</f>
        <v>1160</v>
      </c>
      <c r="D5" s="1" t="n">
        <f aca="false">Data_Monthly!D5</f>
        <v>1160</v>
      </c>
      <c r="E5" s="13" t="n">
        <f aca="false">Data_Monthly!E5</f>
        <v>3.85692995529061</v>
      </c>
      <c r="F5" s="11" t="n">
        <f aca="false">Data_Monthly!F5</f>
        <v>0.241430700447094</v>
      </c>
      <c r="G5" s="1" t="n">
        <f aca="false">B5/C5</f>
        <v>186.548586206897</v>
      </c>
      <c r="H5" s="15" t="n">
        <f aca="false">IFERROR((B5-B4)/B4,"")</f>
        <v>0.512357123003877</v>
      </c>
      <c r="I5" s="1" t="n">
        <f aca="false">I4+B5</f>
        <v>463379.5</v>
      </c>
    </row>
    <row r="6" customFormat="false" ht="15" hidden="false" customHeight="true" outlineLevel="0" collapsed="false">
      <c r="A6" s="1" t="str">
        <f aca="false">Data_Monthly!A6</f>
        <v>2017-01</v>
      </c>
      <c r="B6" s="11" t="n">
        <f aca="false">Data_Monthly!B6</f>
        <v>289073.93</v>
      </c>
      <c r="C6" s="12" t="n">
        <f aca="false">Data_Monthly!C6</f>
        <v>1591</v>
      </c>
      <c r="D6" s="1" t="n">
        <f aca="false">Data_Monthly!D6</f>
        <v>1591</v>
      </c>
      <c r="E6" s="13" t="n">
        <f aca="false">Data_Monthly!E6</f>
        <v>3.86381109280615</v>
      </c>
      <c r="F6" s="11" t="n">
        <f aca="false">Data_Monthly!F6</f>
        <v>0.244371224601867</v>
      </c>
      <c r="G6" s="1" t="n">
        <f aca="false">B6/C6</f>
        <v>181.693230672533</v>
      </c>
      <c r="H6" s="15" t="n">
        <f aca="false">IFERROR((B6-B5)/B5,"")</f>
        <v>0.335853939502495</v>
      </c>
      <c r="I6" s="1" t="n">
        <f aca="false">I5+B6</f>
        <v>752453.43</v>
      </c>
    </row>
    <row r="7" customFormat="false" ht="15" hidden="false" customHeight="true" outlineLevel="0" collapsed="false">
      <c r="A7" s="1" t="str">
        <f aca="false">Data_Monthly!A7</f>
        <v>2017-02</v>
      </c>
      <c r="B7" s="11" t="n">
        <f aca="false">Data_Monthly!B7</f>
        <v>339718.38</v>
      </c>
      <c r="C7" s="12" t="n">
        <f aca="false">Data_Monthly!C7</f>
        <v>1851</v>
      </c>
      <c r="D7" s="1" t="n">
        <f aca="false">Data_Monthly!D7</f>
        <v>1851</v>
      </c>
      <c r="E7" s="13" t="n">
        <f aca="false">Data_Monthly!E7</f>
        <v>3.8220539517274</v>
      </c>
      <c r="F7" s="11" t="n">
        <f aca="false">Data_Monthly!F7</f>
        <v>0.243729294841458</v>
      </c>
      <c r="G7" s="1" t="n">
        <f aca="false">B7/C7</f>
        <v>183.532350081037</v>
      </c>
      <c r="H7" s="15" t="n">
        <f aca="false">IFERROR((B7-B6)/B6,"")</f>
        <v>0.175195494107684</v>
      </c>
      <c r="I7" s="1" t="n">
        <f aca="false">I6+B7</f>
        <v>1092171.81</v>
      </c>
    </row>
    <row r="8" customFormat="false" ht="15" hidden="false" customHeight="true" outlineLevel="0" collapsed="false">
      <c r="A8" s="1" t="str">
        <f aca="false">Data_Monthly!A8</f>
        <v>2017-03</v>
      </c>
      <c r="B8" s="11" t="n">
        <f aca="false">Data_Monthly!B8</f>
        <v>438741.8</v>
      </c>
      <c r="C8" s="12" t="n">
        <f aca="false">Data_Monthly!C8</f>
        <v>2435</v>
      </c>
      <c r="D8" s="1" t="n">
        <f aca="false">Data_Monthly!D8</f>
        <v>2435</v>
      </c>
      <c r="E8" s="13" t="n">
        <f aca="false">Data_Monthly!E8</f>
        <v>3.8461262553802</v>
      </c>
      <c r="F8" s="11" t="n">
        <f aca="false">Data_Monthly!F8</f>
        <v>0.236370157819225</v>
      </c>
      <c r="G8" s="1" t="n">
        <f aca="false">B8/C8</f>
        <v>180.181437371663</v>
      </c>
      <c r="H8" s="15" t="n">
        <f aca="false">IFERROR((B8-B7)/B7,"")</f>
        <v>0.291486789734485</v>
      </c>
      <c r="I8" s="1" t="n">
        <f aca="false">I7+B8</f>
        <v>1530913.61</v>
      </c>
    </row>
    <row r="9" customFormat="false" ht="15" hidden="false" customHeight="true" outlineLevel="0" collapsed="false">
      <c r="A9" s="1" t="str">
        <f aca="false">Data_Monthly!A9</f>
        <v>2017-04</v>
      </c>
      <c r="B9" s="11" t="n">
        <f aca="false">Data_Monthly!B9</f>
        <v>509440.18</v>
      </c>
      <c r="C9" s="12" t="n">
        <f aca="false">Data_Monthly!C9</f>
        <v>2744</v>
      </c>
      <c r="D9" s="1" t="n">
        <f aca="false">Data_Monthly!D9</f>
        <v>2744</v>
      </c>
      <c r="E9" s="13" t="n">
        <f aca="false">Data_Monthly!E9</f>
        <v>3.81775110549589</v>
      </c>
      <c r="F9" s="11" t="n">
        <f aca="false">Data_Monthly!F9</f>
        <v>0.253000631711939</v>
      </c>
      <c r="G9" s="1" t="n">
        <f aca="false">B9/C9</f>
        <v>185.656042274052</v>
      </c>
      <c r="H9" s="15" t="n">
        <f aca="false">IFERROR((B9-B8)/B8,"")</f>
        <v>0.161138920431106</v>
      </c>
      <c r="I9" s="1" t="n">
        <f aca="false">I8+B9</f>
        <v>2040353.79</v>
      </c>
    </row>
    <row r="10" customFormat="false" ht="15" hidden="false" customHeight="true" outlineLevel="0" collapsed="false">
      <c r="A10" s="1" t="str">
        <f aca="false">Data_Monthly!A10</f>
        <v>2017-05</v>
      </c>
      <c r="B10" s="11" t="n">
        <f aca="false">Data_Monthly!B10</f>
        <v>582457</v>
      </c>
      <c r="C10" s="12" t="n">
        <f aca="false">Data_Monthly!C10</f>
        <v>3129</v>
      </c>
      <c r="D10" s="1" t="n">
        <f aca="false">Data_Monthly!D10</f>
        <v>3129</v>
      </c>
      <c r="E10" s="13" t="n">
        <f aca="false">Data_Monthly!E10</f>
        <v>3.84684931506849</v>
      </c>
      <c r="F10" s="11" t="n">
        <f aca="false">Data_Monthly!F10</f>
        <v>0.236986301369863</v>
      </c>
      <c r="G10" s="1" t="n">
        <f aca="false">B10/C10</f>
        <v>186.147970597635</v>
      </c>
      <c r="H10" s="15" t="n">
        <f aca="false">IFERROR((B10-B9)/B9,"")</f>
        <v>0.143327563993873</v>
      </c>
      <c r="I10" s="1" t="n">
        <f aca="false">I9+B10</f>
        <v>2622810.79</v>
      </c>
    </row>
    <row r="11" customFormat="false" ht="15" hidden="false" customHeight="true" outlineLevel="0" collapsed="false">
      <c r="A11" s="1" t="str">
        <f aca="false">Data_Monthly!A11</f>
        <v>2017-06</v>
      </c>
      <c r="B11" s="11" t="n">
        <f aca="false">Data_Monthly!B11</f>
        <v>636554.15</v>
      </c>
      <c r="C11" s="12" t="n">
        <f aca="false">Data_Monthly!C11</f>
        <v>3457</v>
      </c>
      <c r="D11" s="1" t="n">
        <f aca="false">Data_Monthly!D11</f>
        <v>3457</v>
      </c>
      <c r="E11" s="13" t="n">
        <f aca="false">Data_Monthly!E11</f>
        <v>3.83851554663992</v>
      </c>
      <c r="F11" s="11" t="n">
        <f aca="false">Data_Monthly!F11</f>
        <v>0.241474423269809</v>
      </c>
      <c r="G11" s="1" t="n">
        <f aca="false">B11/C11</f>
        <v>184.134842348857</v>
      </c>
      <c r="H11" s="15" t="n">
        <f aca="false">IFERROR((B11-B10)/B10,"")</f>
        <v>0.0928774999699549</v>
      </c>
      <c r="I11" s="1" t="n">
        <f aca="false">I10+B11</f>
        <v>3259364.94</v>
      </c>
    </row>
    <row r="12" customFormat="false" ht="15" hidden="false" customHeight="true" outlineLevel="0" collapsed="false">
      <c r="A12" s="1" t="str">
        <f aca="false">Data_Monthly!A12</f>
        <v>2017-07</v>
      </c>
      <c r="B12" s="11" t="n">
        <f aca="false">Data_Monthly!B12</f>
        <v>746312.1</v>
      </c>
      <c r="C12" s="12" t="n">
        <f aca="false">Data_Monthly!C12</f>
        <v>3960</v>
      </c>
      <c r="D12" s="1" t="n">
        <f aca="false">Data_Monthly!D12</f>
        <v>3960</v>
      </c>
      <c r="E12" s="13" t="n">
        <f aca="false">Data_Monthly!E12</f>
        <v>3.81766630316249</v>
      </c>
      <c r="F12" s="11" t="n">
        <f aca="false">Data_Monthly!F12</f>
        <v>0.236423118865867</v>
      </c>
      <c r="G12" s="1" t="n">
        <f aca="false">B12/C12</f>
        <v>188.462651515152</v>
      </c>
      <c r="H12" s="15" t="n">
        <f aca="false">IFERROR((B12-B11)/B11,"")</f>
        <v>0.172425158173896</v>
      </c>
      <c r="I12" s="1" t="n">
        <f aca="false">I11+B12</f>
        <v>4005677.04</v>
      </c>
    </row>
    <row r="13" customFormat="false" ht="15" hidden="false" customHeight="true" outlineLevel="0" collapsed="false">
      <c r="A13" s="1" t="str">
        <f aca="false">Data_Monthly!A13</f>
        <v>2017-08</v>
      </c>
      <c r="B13" s="11" t="n">
        <f aca="false">Data_Monthly!B13</f>
        <v>786994.01</v>
      </c>
      <c r="C13" s="12" t="n">
        <f aca="false">Data_Monthly!C13</f>
        <v>4302</v>
      </c>
      <c r="D13" s="1" t="n">
        <f aca="false">Data_Monthly!D13</f>
        <v>4302</v>
      </c>
      <c r="E13" s="13" t="n">
        <f aca="false">Data_Monthly!E13</f>
        <v>3.86113360323887</v>
      </c>
      <c r="F13" s="11" t="n">
        <f aca="false">Data_Monthly!F13</f>
        <v>0.238056680161943</v>
      </c>
      <c r="G13" s="1" t="n">
        <f aca="false">B13/C13</f>
        <v>182.936775918178</v>
      </c>
      <c r="H13" s="15" t="n">
        <f aca="false">IFERROR((B13-B12)/B12,"")</f>
        <v>0.0545105861207396</v>
      </c>
      <c r="I13" s="1" t="n">
        <f aca="false">I12+B13</f>
        <v>4792671.05</v>
      </c>
    </row>
    <row r="14" customFormat="false" ht="15" hidden="false" customHeight="true" outlineLevel="0" collapsed="false">
      <c r="A14" s="1" t="str">
        <f aca="false">Data_Monthly!A14</f>
        <v>2017-09</v>
      </c>
      <c r="B14" s="11" t="n">
        <f aca="false">Data_Monthly!B14</f>
        <v>862952.5</v>
      </c>
      <c r="C14" s="12" t="n">
        <f aca="false">Data_Monthly!C14</f>
        <v>4621</v>
      </c>
      <c r="D14" s="1" t="n">
        <f aca="false">Data_Monthly!D14</f>
        <v>4621</v>
      </c>
      <c r="E14" s="13" t="n">
        <f aca="false">Data_Monthly!E14</f>
        <v>3.82063789868668</v>
      </c>
      <c r="F14" s="11" t="n">
        <f aca="false">Data_Monthly!F14</f>
        <v>0.241463414634146</v>
      </c>
      <c r="G14" s="1" t="n">
        <f aca="false">B14/C14</f>
        <v>186.745834235014</v>
      </c>
      <c r="H14" s="15" t="n">
        <f aca="false">IFERROR((B14-B13)/B13,"")</f>
        <v>0.0965172403281697</v>
      </c>
      <c r="I14" s="1" t="n">
        <f aca="false">I13+B14</f>
        <v>5655623.55</v>
      </c>
    </row>
    <row r="15" customFormat="false" ht="15" hidden="false" customHeight="true" outlineLevel="0" collapsed="false">
      <c r="A15" s="1" t="str">
        <f aca="false">Data_Monthly!A15</f>
        <v>2017-10</v>
      </c>
      <c r="B15" s="11" t="n">
        <f aca="false">Data_Monthly!B15</f>
        <v>945719.03</v>
      </c>
      <c r="C15" s="12" t="n">
        <f aca="false">Data_Monthly!C15</f>
        <v>5146</v>
      </c>
      <c r="D15" s="1" t="n">
        <f aca="false">Data_Monthly!D15</f>
        <v>5146</v>
      </c>
      <c r="E15" s="13" t="n">
        <f aca="false">Data_Monthly!E15</f>
        <v>3.85689948892675</v>
      </c>
      <c r="F15" s="11" t="n">
        <f aca="false">Data_Monthly!F15</f>
        <v>0.242419080068143</v>
      </c>
      <c r="G15" s="1" t="n">
        <f aca="false">B15/C15</f>
        <v>183.777502914885</v>
      </c>
      <c r="H15" s="15" t="n">
        <f aca="false">IFERROR((B15-B14)/B14,"")</f>
        <v>0.0959108757434506</v>
      </c>
      <c r="I15" s="1" t="n">
        <f aca="false">I14+B15</f>
        <v>6601342.58</v>
      </c>
    </row>
    <row r="16" customFormat="false" ht="15" hidden="false" customHeight="true" outlineLevel="0" collapsed="false">
      <c r="A16" s="1" t="str">
        <f aca="false">Data_Monthly!A16</f>
        <v>2017-11</v>
      </c>
      <c r="B16" s="11" t="n">
        <f aca="false">Data_Monthly!B16</f>
        <v>993073.52</v>
      </c>
      <c r="C16" s="12" t="n">
        <f aca="false">Data_Monthly!C16</f>
        <v>5270</v>
      </c>
      <c r="D16" s="1" t="n">
        <f aca="false">Data_Monthly!D16</f>
        <v>5270</v>
      </c>
      <c r="E16" s="13" t="n">
        <f aca="false">Data_Monthly!E16</f>
        <v>3.83659057316472</v>
      </c>
      <c r="F16" s="11" t="n">
        <f aca="false">Data_Monthly!F16</f>
        <v>0.237313187715553</v>
      </c>
      <c r="G16" s="1" t="n">
        <f aca="false">B16/C16</f>
        <v>188.438998102467</v>
      </c>
      <c r="H16" s="15" t="n">
        <f aca="false">IFERROR((B16-B15)/B15,"")</f>
        <v>0.0500724723705729</v>
      </c>
      <c r="I16" s="1" t="n">
        <f aca="false">I15+B16</f>
        <v>7594416.1</v>
      </c>
    </row>
    <row r="17" customFormat="false" ht="15" hidden="false" customHeight="true" outlineLevel="0" collapsed="false">
      <c r="A17" s="1" t="str">
        <f aca="false">Data_Monthly!A17</f>
        <v>2017-12</v>
      </c>
      <c r="B17" s="11" t="n">
        <f aca="false">Data_Monthly!B17</f>
        <v>1078616.11</v>
      </c>
      <c r="C17" s="12" t="n">
        <f aca="false">Data_Monthly!C17</f>
        <v>5780</v>
      </c>
      <c r="D17" s="1" t="n">
        <f aca="false">Data_Monthly!D17</f>
        <v>5780</v>
      </c>
      <c r="E17" s="13" t="n">
        <f aca="false">Data_Monthly!E17</f>
        <v>3.86307553415588</v>
      </c>
      <c r="F17" s="11" t="n">
        <f aca="false">Data_Monthly!F17</f>
        <v>0.233222991272946</v>
      </c>
      <c r="G17" s="1" t="n">
        <f aca="false">B17/C17</f>
        <v>186.611783737024</v>
      </c>
      <c r="H17" s="15" t="n">
        <f aca="false">IFERROR((B17-B16)/B16,"")</f>
        <v>0.0861392316653455</v>
      </c>
      <c r="I17" s="1" t="n">
        <f aca="false">I16+B17</f>
        <v>8673032.21</v>
      </c>
    </row>
    <row r="18" customFormat="false" ht="15" hidden="false" customHeight="true" outlineLevel="0" collapsed="false">
      <c r="A18" s="1" t="str">
        <f aca="false">Data_Monthly!A18</f>
        <v>2018-01</v>
      </c>
      <c r="B18" s="11" t="n">
        <f aca="false">Data_Monthly!B18</f>
        <v>1143991.9</v>
      </c>
      <c r="C18" s="12" t="n">
        <f aca="false">Data_Monthly!C18</f>
        <v>6128</v>
      </c>
      <c r="D18" s="1" t="n">
        <f aca="false">Data_Monthly!D18</f>
        <v>6128</v>
      </c>
      <c r="E18" s="13" t="n">
        <f aca="false">Data_Monthly!E18</f>
        <v>3.84237216509368</v>
      </c>
      <c r="F18" s="11" t="n">
        <f aca="false">Data_Monthly!F18</f>
        <v>0.247499647837724</v>
      </c>
      <c r="G18" s="1" t="n">
        <f aca="false">B18/C18</f>
        <v>186.682751305483</v>
      </c>
      <c r="H18" s="15" t="n">
        <f aca="false">IFERROR((B18-B17)/B17,"")</f>
        <v>0.060610804338904</v>
      </c>
      <c r="I18" s="1" t="n">
        <f aca="false">I17+B18</f>
        <v>9817024.11</v>
      </c>
    </row>
    <row r="19" customFormat="false" ht="15" hidden="false" customHeight="true" outlineLevel="0" collapsed="false">
      <c r="A19" s="1" t="str">
        <f aca="false">Data_Monthly!A19</f>
        <v>2018-02</v>
      </c>
      <c r="B19" s="11" t="n">
        <f aca="false">Data_Monthly!B19</f>
        <v>1074526.46</v>
      </c>
      <c r="C19" s="12" t="n">
        <f aca="false">Data_Monthly!C19</f>
        <v>5817</v>
      </c>
      <c r="D19" s="1" t="n">
        <f aca="false">Data_Monthly!D19</f>
        <v>5817</v>
      </c>
      <c r="E19" s="13" t="n">
        <f aca="false">Data_Monthly!E19</f>
        <v>3.82510809601909</v>
      </c>
      <c r="F19" s="11" t="n">
        <f aca="false">Data_Monthly!F19</f>
        <v>0.241538690919934</v>
      </c>
      <c r="G19" s="1" t="n">
        <f aca="false">B19/C19</f>
        <v>184.721756919374</v>
      </c>
      <c r="H19" s="15" t="n">
        <f aca="false">IFERROR((B19-B18)/B18,"")</f>
        <v>-0.0607219683985524</v>
      </c>
      <c r="I19" s="1" t="n">
        <f aca="false">I18+B19</f>
        <v>10891550.57</v>
      </c>
    </row>
    <row r="20" customFormat="false" ht="15" hidden="false" customHeight="true" outlineLevel="0" collapsed="false">
      <c r="A20" s="1" t="str">
        <f aca="false">Data_Monthly!A20</f>
        <v>2018-03</v>
      </c>
      <c r="B20" s="11" t="n">
        <f aca="false">Data_Monthly!B20</f>
        <v>1219838.97</v>
      </c>
      <c r="C20" s="12" t="n">
        <f aca="false">Data_Monthly!C20</f>
        <v>6598</v>
      </c>
      <c r="D20" s="1" t="n">
        <f aca="false">Data_Monthly!D20</f>
        <v>6598</v>
      </c>
      <c r="E20" s="13" t="n">
        <f aca="false">Data_Monthly!E20</f>
        <v>3.78649180327869</v>
      </c>
      <c r="F20" s="11" t="n">
        <f aca="false">Data_Monthly!F20</f>
        <v>0.250754098360656</v>
      </c>
      <c r="G20" s="1" t="n">
        <f aca="false">B20/C20</f>
        <v>184.880110639588</v>
      </c>
      <c r="H20" s="15" t="n">
        <f aca="false">IFERROR((B20-B19)/B19,"")</f>
        <v>0.135233998797945</v>
      </c>
      <c r="I20" s="1" t="n">
        <f aca="false">I19+B20</f>
        <v>12111389.54</v>
      </c>
    </row>
    <row r="21" customFormat="false" ht="15" hidden="false" customHeight="true" outlineLevel="0" collapsed="false">
      <c r="A21" s="1" t="str">
        <f aca="false">Data_Monthly!A21</f>
        <v>2018-04</v>
      </c>
      <c r="B21" s="11" t="n">
        <f aca="false">Data_Monthly!B21</f>
        <v>1195857.76</v>
      </c>
      <c r="C21" s="12" t="n">
        <f aca="false">Data_Monthly!C21</f>
        <v>6515</v>
      </c>
      <c r="D21" s="1" t="n">
        <f aca="false">Data_Monthly!D21</f>
        <v>6515</v>
      </c>
      <c r="E21" s="13" t="n">
        <f aca="false">Data_Monthly!E21</f>
        <v>3.82415394824154</v>
      </c>
      <c r="F21" s="11" t="n">
        <f aca="false">Data_Monthly!F21</f>
        <v>0.242203052422031</v>
      </c>
      <c r="G21" s="1" t="n">
        <f aca="false">B21/C21</f>
        <v>183.554529547199</v>
      </c>
      <c r="H21" s="15" t="n">
        <f aca="false">IFERROR((B21-B20)/B20,"")</f>
        <v>-0.0196593243778726</v>
      </c>
      <c r="I21" s="1" t="n">
        <f aca="false">I20+B21</f>
        <v>13307247.3</v>
      </c>
    </row>
    <row r="22" customFormat="false" ht="15" hidden="false" customHeight="true" outlineLevel="0" collapsed="false">
      <c r="A22" s="1" t="str">
        <f aca="false">Data_Monthly!A22</f>
        <v>2018-05</v>
      </c>
      <c r="B22" s="11" t="n">
        <f aca="false">Data_Monthly!B22</f>
        <v>1261380.07</v>
      </c>
      <c r="C22" s="12" t="n">
        <f aca="false">Data_Monthly!C22</f>
        <v>6800</v>
      </c>
      <c r="D22" s="1" t="n">
        <f aca="false">Data_Monthly!D22</f>
        <v>6800</v>
      </c>
      <c r="E22" s="13" t="n">
        <f aca="false">Data_Monthly!E22</f>
        <v>3.82921520932019</v>
      </c>
      <c r="F22" s="11" t="n">
        <f aca="false">Data_Monthly!F22</f>
        <v>0.238509793880425</v>
      </c>
      <c r="G22" s="1" t="n">
        <f aca="false">B22/C22</f>
        <v>185.497069117647</v>
      </c>
      <c r="H22" s="15" t="n">
        <f aca="false">IFERROR((B22-B21)/B21,"")</f>
        <v>0.0547910564212922</v>
      </c>
      <c r="I22" s="1" t="n">
        <f aca="false">I21+B22</f>
        <v>14568627.37</v>
      </c>
    </row>
    <row r="23" customFormat="false" ht="15" hidden="false" customHeight="true" outlineLevel="0" collapsed="false">
      <c r="A23" s="1" t="str">
        <f aca="false">Data_Monthly!A23</f>
        <v>2018-06</v>
      </c>
      <c r="B23" s="11" t="n">
        <f aca="false">Data_Monthly!B23</f>
        <v>1212695.05</v>
      </c>
      <c r="C23" s="12" t="n">
        <f aca="false">Data_Monthly!C23</f>
        <v>6541</v>
      </c>
      <c r="D23" s="1" t="n">
        <f aca="false">Data_Monthly!D23</f>
        <v>6541</v>
      </c>
      <c r="E23" s="13" t="n">
        <f aca="false">Data_Monthly!E23</f>
        <v>3.82289301455857</v>
      </c>
      <c r="F23" s="11" t="n">
        <f aca="false">Data_Monthly!F23</f>
        <v>0.241351676238814</v>
      </c>
      <c r="G23" s="1" t="n">
        <f aca="false">B23/C23</f>
        <v>185.399029200428</v>
      </c>
      <c r="H23" s="15" t="n">
        <f aca="false">IFERROR((B23-B22)/B22,"")</f>
        <v>-0.0385966301179945</v>
      </c>
      <c r="I23" s="1" t="n">
        <f aca="false">I22+B23</f>
        <v>15781322.42</v>
      </c>
    </row>
    <row r="24" customFormat="false" ht="15" hidden="false" customHeight="true" outlineLevel="0" collapsed="false">
      <c r="A24" s="1" t="str">
        <f aca="false">Data_Monthly!A24</f>
        <v>2018-07</v>
      </c>
      <c r="B24" s="11" t="n">
        <f aca="false">Data_Monthly!B24</f>
        <v>1156935.68</v>
      </c>
      <c r="C24" s="12" t="n">
        <f aca="false">Data_Monthly!C24</f>
        <v>6306</v>
      </c>
      <c r="D24" s="1" t="n">
        <f aca="false">Data_Monthly!D24</f>
        <v>6306</v>
      </c>
      <c r="E24" s="13" t="n">
        <f aca="false">Data_Monthly!E24</f>
        <v>3.8360768175583</v>
      </c>
      <c r="F24" s="11" t="n">
        <f aca="false">Data_Monthly!F24</f>
        <v>0.251577503429355</v>
      </c>
      <c r="G24" s="1" t="n">
        <f aca="false">B24/C24</f>
        <v>183.465854741516</v>
      </c>
      <c r="H24" s="15" t="n">
        <f aca="false">IFERROR((B24-B23)/B23,"")</f>
        <v>-0.0459797127068344</v>
      </c>
      <c r="I24" s="1" t="n">
        <f aca="false">I23+B24</f>
        <v>16938258.1</v>
      </c>
    </row>
    <row r="25" customFormat="false" ht="15" hidden="false" customHeight="true" outlineLevel="0" collapsed="false">
      <c r="A25" s="1" t="str">
        <f aca="false">Data_Monthly!A25</f>
        <v>2018-08</v>
      </c>
      <c r="B25" s="11" t="n">
        <f aca="false">Data_Monthly!B25</f>
        <v>962267.57</v>
      </c>
      <c r="C25" s="12" t="n">
        <f aca="false">Data_Monthly!C25</f>
        <v>5095</v>
      </c>
      <c r="D25" s="1" t="n">
        <f aca="false">Data_Monthly!D25</f>
        <v>5095</v>
      </c>
      <c r="E25" s="13" t="n">
        <f aca="false">Data_Monthly!E25</f>
        <v>3.83423362592843</v>
      </c>
      <c r="F25" s="11" t="n">
        <f aca="false">Data_Monthly!F25</f>
        <v>0.241559756920999</v>
      </c>
      <c r="G25" s="1" t="n">
        <f aca="false">B25/C25</f>
        <v>188.865077526987</v>
      </c>
      <c r="H25" s="15" t="n">
        <f aca="false">IFERROR((B25-B24)/B24,"")</f>
        <v>-0.168261825929684</v>
      </c>
      <c r="I25" s="1" t="n">
        <f aca="false">I24+B25</f>
        <v>17900525.67</v>
      </c>
    </row>
    <row r="26" customFormat="false" ht="15" hidden="false" customHeight="true" outlineLevel="0" collapsed="false">
      <c r="B26" s="11"/>
      <c r="C26" s="12"/>
      <c r="E26" s="13"/>
      <c r="F26" s="11"/>
    </row>
    <row r="27" customFormat="false" ht="15" hidden="false" customHeight="true" outlineLevel="0" collapsed="false">
      <c r="A27" s="16" t="s">
        <v>27</v>
      </c>
      <c r="B27" s="11"/>
      <c r="C27" s="12"/>
      <c r="E27" s="13"/>
      <c r="F27" s="11"/>
    </row>
    <row r="28" customFormat="false" ht="15" hidden="false" customHeight="true" outlineLevel="0" collapsed="false">
      <c r="B28" s="11"/>
      <c r="C28" s="12"/>
      <c r="E28" s="13"/>
      <c r="F28" s="11"/>
    </row>
    <row r="29" customFormat="false" ht="15" hidden="false" customHeight="true" outlineLevel="0" collapsed="false">
      <c r="B29" s="11"/>
      <c r="C29" s="12"/>
      <c r="E29" s="13"/>
      <c r="F29" s="11"/>
    </row>
    <row r="30" customFormat="false" ht="15" hidden="false" customHeight="true" outlineLevel="0" collapsed="false">
      <c r="B30" s="11"/>
      <c r="C30" s="12"/>
      <c r="E30" s="13"/>
      <c r="F30" s="11"/>
    </row>
    <row r="31" customFormat="false" ht="15" hidden="false" customHeight="true" outlineLevel="0" collapsed="false">
      <c r="B31" s="11"/>
      <c r="C31" s="12"/>
      <c r="E31" s="13"/>
      <c r="F31" s="11"/>
    </row>
    <row r="32" customFormat="false" ht="15" hidden="false" customHeight="true" outlineLevel="0" collapsed="false">
      <c r="B32" s="11"/>
      <c r="C32" s="12"/>
      <c r="E32" s="13"/>
      <c r="F32" s="11"/>
    </row>
    <row r="33" customFormat="false" ht="15" hidden="false" customHeight="true" outlineLevel="0" collapsed="false">
      <c r="B33" s="11"/>
      <c r="C33" s="12"/>
      <c r="E33" s="13"/>
      <c r="F33" s="11"/>
    </row>
    <row r="34" customFormat="false" ht="15" hidden="false" customHeight="true" outlineLevel="0" collapsed="false">
      <c r="B34" s="11"/>
      <c r="C34" s="12"/>
      <c r="E34" s="13"/>
      <c r="F34" s="11"/>
    </row>
    <row r="35" customFormat="false" ht="15" hidden="false" customHeight="true" outlineLevel="0" collapsed="false">
      <c r="B35" s="11"/>
      <c r="C35" s="12"/>
      <c r="E35" s="13"/>
      <c r="F35" s="11"/>
    </row>
    <row r="36" customFormat="false" ht="15" hidden="false" customHeight="true" outlineLevel="0" collapsed="false">
      <c r="B36" s="11"/>
      <c r="C36" s="12"/>
      <c r="E36" s="13"/>
      <c r="F36" s="11"/>
    </row>
    <row r="37" customFormat="false" ht="15" hidden="false" customHeight="true" outlineLevel="0" collapsed="false">
      <c r="B37" s="11"/>
      <c r="C37" s="12"/>
      <c r="E37" s="13"/>
      <c r="F37" s="11"/>
    </row>
    <row r="38" customFormat="false" ht="15" hidden="false" customHeight="true" outlineLevel="0" collapsed="false">
      <c r="B38" s="11"/>
      <c r="C38" s="12"/>
      <c r="E38" s="13"/>
      <c r="F38" s="11"/>
    </row>
    <row r="39" customFormat="false" ht="15" hidden="false" customHeight="true" outlineLevel="0" collapsed="false">
      <c r="B39" s="11"/>
      <c r="C39" s="12"/>
      <c r="E39" s="13"/>
      <c r="F39" s="11"/>
    </row>
    <row r="40" customFormat="false" ht="15" hidden="false" customHeight="true" outlineLevel="0" collapsed="false">
      <c r="B40" s="11"/>
      <c r="C40" s="12"/>
      <c r="E40" s="13"/>
      <c r="F40" s="11"/>
    </row>
    <row r="41" customFormat="false" ht="15" hidden="false" customHeight="true" outlineLevel="0" collapsed="false">
      <c r="B41" s="11"/>
      <c r="C41" s="12"/>
      <c r="E41" s="13"/>
      <c r="F41" s="11"/>
    </row>
    <row r="42" customFormat="false" ht="15" hidden="false" customHeight="true" outlineLevel="0" collapsed="false">
      <c r="B42" s="11"/>
      <c r="C42" s="12"/>
      <c r="E42" s="13"/>
      <c r="F42" s="11"/>
    </row>
    <row r="43" customFormat="false" ht="15" hidden="false" customHeight="true" outlineLevel="0" collapsed="false">
      <c r="B43" s="11"/>
      <c r="C43" s="12"/>
      <c r="E43" s="13"/>
      <c r="F43" s="11"/>
    </row>
    <row r="44" customFormat="false" ht="15" hidden="false" customHeight="true" outlineLevel="0" collapsed="false">
      <c r="B44" s="11"/>
      <c r="C44" s="12"/>
      <c r="E44" s="13"/>
      <c r="F44" s="11"/>
    </row>
    <row r="45" customFormat="false" ht="15" hidden="false" customHeight="true" outlineLevel="0" collapsed="false">
      <c r="B45" s="11"/>
      <c r="C45" s="12"/>
      <c r="E45" s="13"/>
      <c r="F45" s="11"/>
    </row>
    <row r="46" customFormat="false" ht="15" hidden="false" customHeight="true" outlineLevel="0" collapsed="false">
      <c r="B46" s="11"/>
      <c r="C46" s="12"/>
      <c r="E46" s="13"/>
      <c r="F46" s="11"/>
    </row>
    <row r="47" customFormat="false" ht="15" hidden="false" customHeight="true" outlineLevel="0" collapsed="false">
      <c r="B47" s="11"/>
      <c r="C47" s="12"/>
      <c r="E47" s="13"/>
      <c r="F47" s="11"/>
    </row>
    <row r="48" customFormat="false" ht="15" hidden="false" customHeight="true" outlineLevel="0" collapsed="false">
      <c r="B48" s="11"/>
      <c r="C48" s="12"/>
      <c r="E48" s="13"/>
      <c r="F48" s="11"/>
    </row>
    <row r="49" customFormat="false" ht="15" hidden="false" customHeight="true" outlineLevel="0" collapsed="false">
      <c r="B49" s="11"/>
      <c r="C49" s="12"/>
      <c r="E49" s="13"/>
      <c r="F49" s="11"/>
    </row>
    <row r="50" customFormat="false" ht="15" hidden="false" customHeight="true" outlineLevel="0" collapsed="false">
      <c r="B50" s="11"/>
      <c r="C50" s="12"/>
      <c r="E50" s="13"/>
      <c r="F50" s="11"/>
    </row>
    <row r="51" customFormat="false" ht="15" hidden="false" customHeight="true" outlineLevel="0" collapsed="false">
      <c r="B51" s="11"/>
      <c r="C51" s="12"/>
      <c r="E51" s="13"/>
      <c r="F51" s="11"/>
    </row>
    <row r="52" customFormat="false" ht="15" hidden="false" customHeight="true" outlineLevel="0" collapsed="false">
      <c r="B52" s="11"/>
      <c r="C52" s="12"/>
      <c r="E52" s="13"/>
      <c r="F52" s="11"/>
    </row>
    <row r="53" customFormat="false" ht="15" hidden="false" customHeight="true" outlineLevel="0" collapsed="false">
      <c r="B53" s="11"/>
      <c r="C53" s="12"/>
      <c r="E53" s="13"/>
      <c r="F53" s="11"/>
    </row>
    <row r="54" customFormat="false" ht="15" hidden="false" customHeight="true" outlineLevel="0" collapsed="false">
      <c r="B54" s="11"/>
      <c r="C54" s="12"/>
      <c r="E54" s="13"/>
      <c r="F54" s="11"/>
    </row>
    <row r="55" customFormat="false" ht="15" hidden="false" customHeight="true" outlineLevel="0" collapsed="false">
      <c r="B55" s="11"/>
      <c r="C55" s="12"/>
      <c r="E55" s="13"/>
      <c r="F55" s="11"/>
    </row>
    <row r="56" customFormat="false" ht="15" hidden="false" customHeight="true" outlineLevel="0" collapsed="false">
      <c r="B56" s="11"/>
      <c r="C56" s="12"/>
      <c r="E56" s="13"/>
      <c r="F56" s="11"/>
    </row>
    <row r="57" customFormat="false" ht="15" hidden="false" customHeight="true" outlineLevel="0" collapsed="false">
      <c r="B57" s="11"/>
      <c r="C57" s="12"/>
      <c r="E57" s="13"/>
      <c r="F57" s="11"/>
    </row>
    <row r="58" customFormat="false" ht="15" hidden="false" customHeight="true" outlineLevel="0" collapsed="false">
      <c r="B58" s="11"/>
      <c r="C58" s="12"/>
      <c r="E58" s="13"/>
      <c r="F58" s="11"/>
    </row>
    <row r="59" customFormat="false" ht="15" hidden="false" customHeight="true" outlineLevel="0" collapsed="false">
      <c r="B59" s="11"/>
      <c r="C59" s="12"/>
      <c r="E59" s="13"/>
      <c r="F59" s="11"/>
    </row>
    <row r="60" customFormat="false" ht="15" hidden="false" customHeight="true" outlineLevel="0" collapsed="false">
      <c r="B60" s="11"/>
      <c r="C60" s="12"/>
      <c r="E60" s="13"/>
      <c r="F60" s="11"/>
    </row>
    <row r="61" customFormat="false" ht="15" hidden="false" customHeight="true" outlineLevel="0" collapsed="false">
      <c r="B61" s="11"/>
      <c r="C61" s="12"/>
      <c r="E61" s="13"/>
      <c r="F61" s="11"/>
    </row>
    <row r="62" customFormat="false" ht="15" hidden="false" customHeight="true" outlineLevel="0" collapsed="false">
      <c r="B62" s="11"/>
      <c r="C62" s="12"/>
      <c r="E62" s="13"/>
      <c r="F62" s="11"/>
    </row>
    <row r="63" customFormat="false" ht="15" hidden="false" customHeight="true" outlineLevel="0" collapsed="false">
      <c r="B63" s="11"/>
      <c r="C63" s="12"/>
      <c r="E63" s="13"/>
      <c r="F63" s="11"/>
    </row>
    <row r="64" customFormat="false" ht="15" hidden="false" customHeight="true" outlineLevel="0" collapsed="false">
      <c r="B64" s="11"/>
      <c r="C64" s="12"/>
      <c r="E64" s="13"/>
      <c r="F64" s="11"/>
    </row>
    <row r="65" customFormat="false" ht="15" hidden="false" customHeight="true" outlineLevel="0" collapsed="false">
      <c r="B65" s="11"/>
      <c r="C65" s="12"/>
      <c r="E65" s="13"/>
      <c r="F65" s="11"/>
    </row>
    <row r="66" customFormat="false" ht="15" hidden="false" customHeight="true" outlineLevel="0" collapsed="false">
      <c r="B66" s="11"/>
      <c r="C66" s="12"/>
      <c r="E66" s="13"/>
      <c r="F66" s="11"/>
    </row>
    <row r="67" customFormat="false" ht="15" hidden="false" customHeight="true" outlineLevel="0" collapsed="false">
      <c r="B67" s="11"/>
      <c r="C67" s="12"/>
      <c r="E67" s="13"/>
      <c r="F67" s="11"/>
    </row>
    <row r="68" customFormat="false" ht="15" hidden="false" customHeight="true" outlineLevel="0" collapsed="false">
      <c r="B68" s="11"/>
      <c r="C68" s="12"/>
      <c r="E68" s="13"/>
      <c r="F68" s="11"/>
    </row>
    <row r="69" customFormat="false" ht="15" hidden="false" customHeight="true" outlineLevel="0" collapsed="false">
      <c r="B69" s="11"/>
      <c r="C69" s="12"/>
      <c r="E69" s="13"/>
      <c r="F69" s="11"/>
    </row>
    <row r="70" customFormat="false" ht="15" hidden="false" customHeight="true" outlineLevel="0" collapsed="false">
      <c r="B70" s="11"/>
      <c r="C70" s="12"/>
      <c r="E70" s="13"/>
      <c r="F70" s="11"/>
    </row>
    <row r="71" customFormat="false" ht="15" hidden="false" customHeight="true" outlineLevel="0" collapsed="false">
      <c r="B71" s="11"/>
      <c r="C71" s="12"/>
      <c r="E71" s="13"/>
      <c r="F71" s="11"/>
    </row>
    <row r="72" customFormat="false" ht="15" hidden="false" customHeight="true" outlineLevel="0" collapsed="false">
      <c r="B72" s="11"/>
      <c r="C72" s="12"/>
      <c r="E72" s="13"/>
      <c r="F72" s="11"/>
    </row>
    <row r="73" customFormat="false" ht="15" hidden="false" customHeight="true" outlineLevel="0" collapsed="false">
      <c r="B73" s="11"/>
      <c r="C73" s="12"/>
      <c r="E73" s="13"/>
      <c r="F73" s="11"/>
    </row>
    <row r="74" customFormat="false" ht="15" hidden="false" customHeight="true" outlineLevel="0" collapsed="false">
      <c r="B74" s="11"/>
      <c r="C74" s="12"/>
      <c r="E74" s="13"/>
      <c r="F74" s="11"/>
    </row>
    <row r="75" customFormat="false" ht="15" hidden="false" customHeight="true" outlineLevel="0" collapsed="false">
      <c r="B75" s="11"/>
      <c r="C75" s="12"/>
      <c r="E75" s="13"/>
      <c r="F75" s="11"/>
    </row>
    <row r="76" customFormat="false" ht="15" hidden="false" customHeight="true" outlineLevel="0" collapsed="false">
      <c r="B76" s="11"/>
      <c r="C76" s="12"/>
      <c r="E76" s="13"/>
      <c r="F76" s="11"/>
    </row>
    <row r="77" customFormat="false" ht="15" hidden="false" customHeight="true" outlineLevel="0" collapsed="false">
      <c r="B77" s="11"/>
      <c r="C77" s="12"/>
      <c r="E77" s="13"/>
      <c r="F77" s="11"/>
    </row>
    <row r="78" customFormat="false" ht="15" hidden="false" customHeight="true" outlineLevel="0" collapsed="false">
      <c r="B78" s="11"/>
      <c r="C78" s="12"/>
      <c r="E78" s="13"/>
      <c r="F78" s="11"/>
    </row>
    <row r="79" customFormat="false" ht="15" hidden="false" customHeight="true" outlineLevel="0" collapsed="false">
      <c r="B79" s="11"/>
      <c r="C79" s="12"/>
      <c r="E79" s="13"/>
      <c r="F79" s="11"/>
    </row>
    <row r="80" customFormat="false" ht="15" hidden="false" customHeight="true" outlineLevel="0" collapsed="false">
      <c r="B80" s="11"/>
      <c r="C80" s="12"/>
      <c r="E80" s="13"/>
      <c r="F80" s="11"/>
    </row>
    <row r="81" customFormat="false" ht="15" hidden="false" customHeight="true" outlineLevel="0" collapsed="false">
      <c r="B81" s="11"/>
      <c r="C81" s="12"/>
      <c r="E81" s="13"/>
      <c r="F81" s="11"/>
    </row>
    <row r="82" customFormat="false" ht="15" hidden="false" customHeight="true" outlineLevel="0" collapsed="false">
      <c r="B82" s="11"/>
      <c r="C82" s="12"/>
      <c r="E82" s="13"/>
      <c r="F82" s="11"/>
    </row>
    <row r="83" customFormat="false" ht="15" hidden="false" customHeight="true" outlineLevel="0" collapsed="false">
      <c r="B83" s="11"/>
      <c r="C83" s="12"/>
      <c r="E83" s="13"/>
      <c r="F83" s="11"/>
    </row>
    <row r="84" customFormat="false" ht="15" hidden="false" customHeight="true" outlineLevel="0" collapsed="false">
      <c r="B84" s="11"/>
      <c r="C84" s="12"/>
      <c r="E84" s="13"/>
      <c r="F84" s="11"/>
    </row>
    <row r="85" customFormat="false" ht="15" hidden="false" customHeight="true" outlineLevel="0" collapsed="false">
      <c r="B85" s="11"/>
      <c r="C85" s="12"/>
      <c r="E85" s="13"/>
      <c r="F85" s="11"/>
    </row>
    <row r="86" customFormat="false" ht="15" hidden="false" customHeight="true" outlineLevel="0" collapsed="false">
      <c r="B86" s="11"/>
      <c r="C86" s="12"/>
      <c r="E86" s="13"/>
      <c r="F86" s="11"/>
    </row>
    <row r="87" customFormat="false" ht="15" hidden="false" customHeight="true" outlineLevel="0" collapsed="false">
      <c r="B87" s="11"/>
      <c r="C87" s="12"/>
      <c r="E87" s="13"/>
      <c r="F87" s="11"/>
    </row>
    <row r="88" customFormat="false" ht="15" hidden="false" customHeight="true" outlineLevel="0" collapsed="false">
      <c r="B88" s="11"/>
      <c r="C88" s="12"/>
      <c r="E88" s="13"/>
      <c r="F88" s="11"/>
    </row>
    <row r="89" customFormat="false" ht="15" hidden="false" customHeight="true" outlineLevel="0" collapsed="false">
      <c r="B89" s="11"/>
      <c r="C89" s="12"/>
      <c r="E89" s="13"/>
      <c r="F89" s="11"/>
    </row>
    <row r="90" customFormat="false" ht="15" hidden="false" customHeight="true" outlineLevel="0" collapsed="false">
      <c r="B90" s="11"/>
      <c r="C90" s="12"/>
      <c r="E90" s="13"/>
      <c r="F90" s="11"/>
    </row>
    <row r="91" customFormat="false" ht="15" hidden="false" customHeight="true" outlineLevel="0" collapsed="false">
      <c r="B91" s="11"/>
      <c r="C91" s="12"/>
      <c r="E91" s="13"/>
      <c r="F91" s="11"/>
    </row>
    <row r="92" customFormat="false" ht="15" hidden="false" customHeight="true" outlineLevel="0" collapsed="false">
      <c r="B92" s="11"/>
      <c r="C92" s="12"/>
      <c r="E92" s="13"/>
      <c r="F92" s="11"/>
    </row>
    <row r="93" customFormat="false" ht="15" hidden="false" customHeight="true" outlineLevel="0" collapsed="false">
      <c r="B93" s="11"/>
      <c r="C93" s="12"/>
      <c r="E93" s="13"/>
      <c r="F93" s="11"/>
    </row>
    <row r="94" customFormat="false" ht="15" hidden="false" customHeight="true" outlineLevel="0" collapsed="false">
      <c r="B94" s="11"/>
      <c r="C94" s="12"/>
      <c r="E94" s="13"/>
      <c r="F94" s="11"/>
    </row>
    <row r="95" customFormat="false" ht="15" hidden="false" customHeight="true" outlineLevel="0" collapsed="false">
      <c r="B95" s="11"/>
      <c r="C95" s="12"/>
      <c r="E95" s="13"/>
      <c r="F95" s="11"/>
    </row>
    <row r="96" customFormat="false" ht="15" hidden="false" customHeight="true" outlineLevel="0" collapsed="false">
      <c r="B96" s="11"/>
      <c r="C96" s="12"/>
      <c r="E96" s="13"/>
      <c r="F96" s="11"/>
    </row>
    <row r="97" customFormat="false" ht="15" hidden="false" customHeight="true" outlineLevel="0" collapsed="false">
      <c r="B97" s="11"/>
      <c r="C97" s="12"/>
      <c r="E97" s="13"/>
      <c r="F97" s="11"/>
    </row>
    <row r="98" customFormat="false" ht="15" hidden="false" customHeight="true" outlineLevel="0" collapsed="false">
      <c r="B98" s="11"/>
      <c r="C98" s="12"/>
      <c r="E98" s="13"/>
      <c r="F98" s="11"/>
    </row>
    <row r="99" customFormat="false" ht="15" hidden="false" customHeight="true" outlineLevel="0" collapsed="false">
      <c r="B99" s="11"/>
      <c r="C99" s="12"/>
      <c r="E99" s="13"/>
      <c r="F99" s="11"/>
    </row>
    <row r="100" customFormat="false" ht="15" hidden="false" customHeight="true" outlineLevel="0" collapsed="false">
      <c r="B100" s="11"/>
      <c r="C100" s="12"/>
      <c r="E100" s="13"/>
      <c r="F100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9.48"/>
    <col collapsed="false" customWidth="true" hidden="false" outlineLevel="0" max="2" min="2" style="1" width="9.42"/>
    <col collapsed="false" customWidth="true" hidden="false" outlineLevel="0" max="3" min="3" style="1" width="12.65"/>
    <col collapsed="false" customWidth="true" hidden="false" outlineLevel="0" max="4" min="4" style="1" width="11.98"/>
    <col collapsed="false" customWidth="true" hidden="false" outlineLevel="0" max="5" min="5" style="1" width="10.51"/>
    <col collapsed="false" customWidth="true" hidden="false" outlineLevel="0" max="6" min="6" style="1" width="11.84"/>
    <col collapsed="false" customWidth="true" hidden="false" outlineLevel="0" max="7" min="7" style="1" width="17.23"/>
    <col collapsed="false" customWidth="true" hidden="false" outlineLevel="0" max="8" min="8" style="1" width="17.5"/>
  </cols>
  <sheetData>
    <row r="1" customFormat="false" ht="15" hidden="false" customHeight="true" outlineLevel="0" collapsed="false">
      <c r="A1" s="9" t="s">
        <v>28</v>
      </c>
      <c r="B1" s="9" t="s">
        <v>19</v>
      </c>
      <c r="C1" s="9" t="s">
        <v>20</v>
      </c>
      <c r="D1" s="9" t="s">
        <v>29</v>
      </c>
      <c r="E1" s="9" t="s">
        <v>30</v>
      </c>
      <c r="F1" s="9" t="s">
        <v>31</v>
      </c>
      <c r="G1" s="9" t="s">
        <v>22</v>
      </c>
      <c r="H1" s="9" t="s">
        <v>23</v>
      </c>
      <c r="I1" s="10" t="s">
        <v>32</v>
      </c>
      <c r="J1" s="10" t="s">
        <v>33</v>
      </c>
    </row>
    <row r="2" customFormat="false" ht="15" hidden="false" customHeight="true" outlineLevel="0" collapsed="false">
      <c r="A2" s="1" t="str">
        <f aca="false">INDEX(Data_Category!$A$2:$A$26,MATCH(B2,Data_Category!$B$2:$B$26,0))</f>
        <v>computers_accessories</v>
      </c>
      <c r="B2" s="11" t="n">
        <f aca="false">LARGE(Data_Category!$B$2:$B$26,1)</f>
        <v>1685925.43</v>
      </c>
      <c r="C2" s="12" t="n">
        <f aca="false">INDEX(Data_Category!$C$2:$C$26,MATCH($A2,Data_Category!$A$2:$A$26,0))</f>
        <v>7507</v>
      </c>
      <c r="D2" s="12" t="n">
        <f aca="false">INDEX(Data_Category!$D$2:$D$26,MATCH($A2,Data_Category!$A$2:$A$26,0))</f>
        <v>7589</v>
      </c>
      <c r="E2" s="11" t="n">
        <f aca="false">INDEX(Data_Category!$E$2:$E$26,MATCH($A2,Data_Category!$A$2:$A$26,0))</f>
        <v>200.769939385953</v>
      </c>
      <c r="F2" s="11" t="n">
        <f aca="false">INDEX(Data_Category!$F$2:$F$26,MATCH($A2,Data_Category!$A$2:$A$26,0))</f>
        <v>21.383892475952</v>
      </c>
      <c r="G2" s="8" t="n">
        <f aca="false">INDEX(Data_Category!$G$2:$G$26,MATCH($A2,Data_Category!$A$2:$A$26,0))</f>
        <v>3.8348926077217</v>
      </c>
      <c r="H2" s="13" t="n">
        <f aca="false">INDEX(Data_Category!$H$2:$H$26,MATCH($A2,Data_Category!$A$2:$A$26,0))</f>
        <v>0.242324416919225</v>
      </c>
      <c r="I2" s="15" t="n">
        <f aca="false">B2/SUM(Data_Category!$B$2:$B$26)</f>
        <v>0.0941830123360841</v>
      </c>
      <c r="J2" s="1" t="n">
        <f aca="false">RANK(B2,Data_Category!$B$2:$B$26)</f>
        <v>1</v>
      </c>
    </row>
    <row r="3" customFormat="false" ht="15" hidden="false" customHeight="true" outlineLevel="0" collapsed="false">
      <c r="A3" s="1" t="str">
        <f aca="false">INDEX(Data_Category!$A$2:$A$26,MATCH(B3,Data_Category!$B$2:$B$26,0))</f>
        <v>watches_gifts</v>
      </c>
      <c r="B3" s="11" t="n">
        <f aca="false">LARGE(Data_Category!$B$2:$B$26,2)</f>
        <v>1508123.28</v>
      </c>
      <c r="C3" s="12" t="n">
        <f aca="false">INDEX(Data_Category!$C$2:$C$26,MATCH($A3,Data_Category!$A$2:$A$26,0))</f>
        <v>5907</v>
      </c>
      <c r="D3" s="12" t="n">
        <f aca="false">INDEX(Data_Category!$D$2:$D$26,MATCH($A3,Data_Category!$A$2:$A$26,0))</f>
        <v>5957</v>
      </c>
      <c r="E3" s="11" t="n">
        <f aca="false">INDEX(Data_Category!$E$2:$E$26,MATCH($A3,Data_Category!$A$2:$A$26,0))</f>
        <v>230.46382407252</v>
      </c>
      <c r="F3" s="11" t="n">
        <f aca="false">INDEX(Data_Category!$F$2:$F$26,MATCH($A3,Data_Category!$A$2:$A$26,0))</f>
        <v>22.7044284035588</v>
      </c>
      <c r="G3" s="8" t="n">
        <f aca="false">INDEX(Data_Category!$G$2:$G$26,MATCH($A3,Data_Category!$A$2:$A$26,0))</f>
        <v>3.83414470370992</v>
      </c>
      <c r="H3" s="13" t="n">
        <f aca="false">INDEX(Data_Category!$H$2:$H$26,MATCH($A3,Data_Category!$A$2:$A$26,0))</f>
        <v>0.242236024844721</v>
      </c>
      <c r="I3" s="15" t="n">
        <f aca="false">B3/SUM(Data_Category!$B$2:$B$26)</f>
        <v>0.0842502230271096</v>
      </c>
      <c r="J3" s="1" t="n">
        <f aca="false">RANK(B3,Data_Category!$B$2:$B$26)</f>
        <v>2</v>
      </c>
    </row>
    <row r="4" customFormat="false" ht="15" hidden="false" customHeight="true" outlineLevel="0" collapsed="false">
      <c r="A4" s="1" t="str">
        <f aca="false">INDEX(Data_Category!$A$2:$A$26,MATCH(B4,Data_Category!$B$2:$B$26,0))</f>
        <v>health_beauty</v>
      </c>
      <c r="B4" s="11" t="n">
        <f aca="false">LARGE(Data_Category!$B$2:$B$26,3)</f>
        <v>1432652.7</v>
      </c>
      <c r="C4" s="12" t="n">
        <f aca="false">INDEX(Data_Category!$C$2:$C$26,MATCH($A4,Data_Category!$A$2:$A$26,0))</f>
        <v>9399</v>
      </c>
      <c r="D4" s="12" t="n">
        <f aca="false">INDEX(Data_Category!$D$2:$D$26,MATCH($A4,Data_Category!$A$2:$A$26,0))</f>
        <v>9536</v>
      </c>
      <c r="E4" s="11" t="n">
        <f aca="false">INDEX(Data_Category!$E$2:$E$26,MATCH($A4,Data_Category!$A$2:$A$26,0))</f>
        <v>131.978098783557</v>
      </c>
      <c r="F4" s="11" t="n">
        <f aca="false">INDEX(Data_Category!$F$2:$F$26,MATCH($A4,Data_Category!$A$2:$A$26,0))</f>
        <v>18.258132340604</v>
      </c>
      <c r="G4" s="8" t="n">
        <f aca="false">INDEX(Data_Category!$G$2:$G$26,MATCH($A4,Data_Category!$A$2:$A$26,0))</f>
        <v>3.84647651006711</v>
      </c>
      <c r="H4" s="13" t="n">
        <f aca="false">INDEX(Data_Category!$H$2:$H$26,MATCH($A4,Data_Category!$A$2:$A$26,0))</f>
        <v>0.245700503355705</v>
      </c>
      <c r="I4" s="15" t="n">
        <f aca="false">B4/SUM(Data_Category!$B$2:$B$26)</f>
        <v>0.0800341133222151</v>
      </c>
      <c r="J4" s="1" t="n">
        <f aca="false">RANK(B4,Data_Category!$B$2:$B$26)</f>
        <v>3</v>
      </c>
    </row>
    <row r="5" customFormat="false" ht="15" hidden="false" customHeight="true" outlineLevel="0" collapsed="false">
      <c r="A5" s="1" t="str">
        <f aca="false">INDEX(Data_Category!$A$2:$A$26,MATCH(B5,Data_Category!$B$2:$B$26,0))</f>
        <v>furniture_decor</v>
      </c>
      <c r="B5" s="11" t="n">
        <f aca="false">LARGE(Data_Category!$B$2:$B$26,4)</f>
        <v>1424562.88</v>
      </c>
      <c r="C5" s="12" t="n">
        <f aca="false">INDEX(Data_Category!$C$2:$C$26,MATCH($A5,Data_Category!$A$2:$A$26,0))</f>
        <v>7570</v>
      </c>
      <c r="D5" s="12" t="n">
        <f aca="false">INDEX(Data_Category!$D$2:$D$26,MATCH($A5,Data_Category!$A$2:$A$26,0))</f>
        <v>7672</v>
      </c>
      <c r="E5" s="11" t="n">
        <f aca="false">INDEX(Data_Category!$E$2:$E$26,MATCH($A5,Data_Category!$A$2:$A$26,0))</f>
        <v>165.930684306569</v>
      </c>
      <c r="F5" s="11" t="n">
        <f aca="false">INDEX(Data_Category!$F$2:$F$26,MATCH($A5,Data_Category!$A$2:$A$26,0))</f>
        <v>19.7526942127216</v>
      </c>
      <c r="G5" s="8" t="n">
        <f aca="false">INDEX(Data_Category!$G$2:$G$26,MATCH($A5,Data_Category!$A$2:$A$26,0))</f>
        <v>3.83068300312826</v>
      </c>
      <c r="H5" s="13" t="n">
        <f aca="false">INDEX(Data_Category!$H$2:$H$26,MATCH($A5,Data_Category!$A$2:$A$26,0))</f>
        <v>0.249739311783107</v>
      </c>
      <c r="I5" s="15" t="n">
        <f aca="false">B5/SUM(Data_Category!$B$2:$B$26)</f>
        <v>0.0795821813427226</v>
      </c>
      <c r="J5" s="1" t="n">
        <f aca="false">RANK(B5,Data_Category!$B$2:$B$26)</f>
        <v>4</v>
      </c>
    </row>
    <row r="6" customFormat="false" ht="15" hidden="false" customHeight="true" outlineLevel="0" collapsed="false">
      <c r="A6" s="1" t="str">
        <f aca="false">INDEX(Data_Category!$A$2:$A$26,MATCH(B6,Data_Category!$B$2:$B$26,0))</f>
        <v>sports_leisure</v>
      </c>
      <c r="B6" s="11" t="n">
        <f aca="false">LARGE(Data_Category!$B$2:$B$26,5)</f>
        <v>1273178.44</v>
      </c>
      <c r="C6" s="12" t="n">
        <f aca="false">INDEX(Data_Category!$C$2:$C$26,MATCH($A6,Data_Category!$A$2:$A$26,0))</f>
        <v>8590</v>
      </c>
      <c r="D6" s="12" t="n">
        <f aca="false">INDEX(Data_Category!$D$2:$D$26,MATCH($A6,Data_Category!$A$2:$A$26,0))</f>
        <v>8710</v>
      </c>
      <c r="E6" s="11" t="n">
        <f aca="false">INDEX(Data_Category!$E$2:$E$26,MATCH($A6,Data_Category!$A$2:$A$26,0))</f>
        <v>127.976380022962</v>
      </c>
      <c r="F6" s="11" t="n">
        <f aca="false">INDEX(Data_Category!$F$2:$F$26,MATCH($A6,Data_Category!$A$2:$A$26,0))</f>
        <v>18.1979529276694</v>
      </c>
      <c r="G6" s="8" t="n">
        <f aca="false">INDEX(Data_Category!$G$2:$G$26,MATCH($A6,Data_Category!$A$2:$A$26,0))</f>
        <v>3.80619977037888</v>
      </c>
      <c r="H6" s="13" t="n">
        <f aca="false">INDEX(Data_Category!$H$2:$H$26,MATCH($A6,Data_Category!$A$2:$A$26,0))</f>
        <v>0.249483352468427</v>
      </c>
      <c r="I6" s="15" t="n">
        <f aca="false">B6/SUM(Data_Category!$B$2:$B$26)</f>
        <v>0.0711251984143547</v>
      </c>
      <c r="J6" s="1" t="n">
        <f aca="false">RANK(B6,Data_Category!$B$2:$B$26)</f>
        <v>5</v>
      </c>
    </row>
    <row r="7" customFormat="false" ht="15" hidden="false" customHeight="true" outlineLevel="0" collapsed="false">
      <c r="A7" s="1" t="str">
        <f aca="false">INDEX(Data_Category!$A$2:$A$26,MATCH(B7,Data_Category!$B$2:$B$26,0))</f>
        <v>bed_bath_table</v>
      </c>
      <c r="B7" s="11" t="n">
        <f aca="false">LARGE(Data_Category!$B$2:$B$26,6)</f>
        <v>1214319.13</v>
      </c>
      <c r="C7" s="12" t="n">
        <f aca="false">INDEX(Data_Category!$C$2:$C$26,MATCH($A7,Data_Category!$A$2:$A$26,0))</f>
        <v>10297</v>
      </c>
      <c r="D7" s="12" t="n">
        <f aca="false">INDEX(Data_Category!$D$2:$D$26,MATCH($A7,Data_Category!$A$2:$A$26,0))</f>
        <v>10440</v>
      </c>
      <c r="E7" s="11" t="n">
        <f aca="false">INDEX(Data_Category!$E$2:$E$26,MATCH($A7,Data_Category!$A$2:$A$26,0))</f>
        <v>99.5121312260536</v>
      </c>
      <c r="F7" s="11" t="n">
        <f aca="false">INDEX(Data_Category!$F$2:$F$26,MATCH($A7,Data_Category!$A$2:$A$26,0))</f>
        <v>16.8019616858238</v>
      </c>
      <c r="G7" s="8" t="n">
        <f aca="false">INDEX(Data_Category!$G$2:$G$26,MATCH($A7,Data_Category!$A$2:$A$26,0))</f>
        <v>3.84272030651341</v>
      </c>
      <c r="H7" s="13" t="n">
        <f aca="false">INDEX(Data_Category!$H$2:$H$26,MATCH($A7,Data_Category!$A$2:$A$26,0))</f>
        <v>0.24272030651341</v>
      </c>
      <c r="I7" s="15" t="n">
        <f aca="false">B7/SUM(Data_Category!$B$2:$B$26)</f>
        <v>0.0678370653681479</v>
      </c>
      <c r="J7" s="1" t="n">
        <f aca="false">RANK(B7,Data_Category!$B$2:$B$26)</f>
        <v>6</v>
      </c>
    </row>
    <row r="8" customFormat="false" ht="15" hidden="false" customHeight="true" outlineLevel="0" collapsed="false">
      <c r="A8" s="1" t="str">
        <f aca="false">INDEX(Data_Category!$A$2:$A$26,MATCH(B8,Data_Category!$B$2:$B$26,0))</f>
        <v>electronics</v>
      </c>
      <c r="B8" s="11" t="n">
        <f aca="false">LARGE(Data_Category!$B$2:$B$26,7)</f>
        <v>928428.79</v>
      </c>
      <c r="C8" s="12" t="n">
        <f aca="false">INDEX(Data_Category!$C$2:$C$26,MATCH($A8,Data_Category!$A$2:$A$26,0))</f>
        <v>3510</v>
      </c>
      <c r="D8" s="12" t="n">
        <f aca="false">INDEX(Data_Category!$D$2:$D$26,MATCH($A8,Data_Category!$A$2:$A$26,0))</f>
        <v>3528</v>
      </c>
      <c r="E8" s="11" t="n">
        <f aca="false">INDEX(Data_Category!$E$2:$E$26,MATCH($A8,Data_Category!$A$2:$A$26,0))</f>
        <v>240.022990362812</v>
      </c>
      <c r="F8" s="11" t="n">
        <f aca="false">INDEX(Data_Category!$F$2:$F$26,MATCH($A8,Data_Category!$A$2:$A$26,0))</f>
        <v>23.1370975056689</v>
      </c>
      <c r="G8" s="8" t="n">
        <f aca="false">INDEX(Data_Category!$G$2:$G$26,MATCH($A8,Data_Category!$A$2:$A$26,0))</f>
        <v>3.86678004535147</v>
      </c>
      <c r="H8" s="13" t="n">
        <f aca="false">INDEX(Data_Category!$H$2:$H$26,MATCH($A8,Data_Category!$A$2:$A$26,0))</f>
        <v>0.239229024943311</v>
      </c>
      <c r="I8" s="15" t="n">
        <f aca="false">B8/SUM(Data_Category!$B$2:$B$26)</f>
        <v>0.0518660070165414</v>
      </c>
      <c r="J8" s="1" t="n">
        <f aca="false">RANK(B8,Data_Category!$B$2:$B$26)</f>
        <v>7</v>
      </c>
    </row>
    <row r="9" customFormat="false" ht="15" hidden="false" customHeight="true" outlineLevel="0" collapsed="false">
      <c r="A9" s="1" t="str">
        <f aca="false">INDEX(Data_Category!$A$2:$A$26,MATCH(B9,Data_Category!$B$2:$B$26,0))</f>
        <v>garden_tools</v>
      </c>
      <c r="B9" s="11" t="n">
        <f aca="false">LARGE(Data_Category!$B$2:$B$26,8)</f>
        <v>865718.48</v>
      </c>
      <c r="C9" s="12" t="n">
        <f aca="false">INDEX(Data_Category!$C$2:$C$26,MATCH($A9,Data_Category!$A$2:$A$26,0))</f>
        <v>5291</v>
      </c>
      <c r="D9" s="12" t="n">
        <f aca="false">INDEX(Data_Category!$D$2:$D$26,MATCH($A9,Data_Category!$A$2:$A$26,0))</f>
        <v>5328</v>
      </c>
      <c r="E9" s="11" t="n">
        <f aca="false">INDEX(Data_Category!$E$2:$E$26,MATCH($A9,Data_Category!$A$2:$A$26,0))</f>
        <v>143.783622372372</v>
      </c>
      <c r="F9" s="11" t="n">
        <f aca="false">INDEX(Data_Category!$F$2:$F$26,MATCH($A9,Data_Category!$A$2:$A$26,0))</f>
        <v>18.7010773273273</v>
      </c>
      <c r="G9" s="8" t="n">
        <f aca="false">INDEX(Data_Category!$G$2:$G$26,MATCH($A9,Data_Category!$A$2:$A$26,0))</f>
        <v>3.82094594594595</v>
      </c>
      <c r="H9" s="13" t="n">
        <f aca="false">INDEX(Data_Category!$H$2:$H$26,MATCH($A9,Data_Category!$A$2:$A$26,0))</f>
        <v>0.245495495495495</v>
      </c>
      <c r="I9" s="15" t="n">
        <f aca="false">B9/SUM(Data_Category!$B$2:$B$26)</f>
        <v>0.0483627406233596</v>
      </c>
      <c r="J9" s="1" t="n">
        <f aca="false">RANK(B9,Data_Category!$B$2:$B$26)</f>
        <v>8</v>
      </c>
    </row>
    <row r="10" customFormat="false" ht="15" hidden="false" customHeight="true" outlineLevel="0" collapsed="false">
      <c r="A10" s="1" t="str">
        <f aca="false">INDEX(Data_Category!$A$2:$A$26,MATCH(B10,Data_Category!$B$2:$B$26,0))</f>
        <v>auto</v>
      </c>
      <c r="B10" s="11" t="n">
        <f aca="false">LARGE(Data_Category!$B$2:$B$26,9)</f>
        <v>858355.87</v>
      </c>
      <c r="C10" s="12" t="n">
        <f aca="false">INDEX(Data_Category!$C$2:$C$26,MATCH($A10,Data_Category!$A$2:$A$26,0))</f>
        <v>4647</v>
      </c>
      <c r="D10" s="12" t="n">
        <f aca="false">INDEX(Data_Category!$D$2:$D$26,MATCH($A10,Data_Category!$A$2:$A$26,0))</f>
        <v>4681</v>
      </c>
      <c r="E10" s="11" t="n">
        <f aca="false">INDEX(Data_Category!$E$2:$E$26,MATCH($A10,Data_Category!$A$2:$A$26,0))</f>
        <v>163.613841059603</v>
      </c>
      <c r="F10" s="11" t="n">
        <f aca="false">INDEX(Data_Category!$F$2:$F$26,MATCH($A10,Data_Category!$A$2:$A$26,0))</f>
        <v>19.7563512070071</v>
      </c>
      <c r="G10" s="8" t="n">
        <f aca="false">INDEX(Data_Category!$G$2:$G$26,MATCH($A10,Data_Category!$A$2:$A$26,0))</f>
        <v>3.83977782525102</v>
      </c>
      <c r="H10" s="13" t="n">
        <f aca="false">INDEX(Data_Category!$H$2:$H$26,MATCH($A10,Data_Category!$A$2:$A$26,0))</f>
        <v>0.234351634266182</v>
      </c>
      <c r="I10" s="15" t="n">
        <f aca="false">B10/SUM(Data_Category!$B$2:$B$26)</f>
        <v>0.0479514337078125</v>
      </c>
      <c r="J10" s="1" t="n">
        <f aca="false">RANK(B10,Data_Category!$B$2:$B$26)</f>
        <v>9</v>
      </c>
    </row>
    <row r="11" customFormat="false" ht="15" hidden="false" customHeight="true" outlineLevel="0" collapsed="false">
      <c r="A11" s="1" t="str">
        <f aca="false">INDEX(Data_Category!$A$2:$A$26,MATCH(B11,Data_Category!$B$2:$B$26,0))</f>
        <v>cool_stuff</v>
      </c>
      <c r="B11" s="11" t="n">
        <f aca="false">LARGE(Data_Category!$B$2:$B$26,10)</f>
        <v>810594.84</v>
      </c>
      <c r="C11" s="12" t="n">
        <f aca="false">INDEX(Data_Category!$C$2:$C$26,MATCH($A11,Data_Category!$A$2:$A$26,0))</f>
        <v>4086</v>
      </c>
      <c r="D11" s="12" t="n">
        <f aca="false">INDEX(Data_Category!$D$2:$D$26,MATCH($A11,Data_Category!$A$2:$A$26,0))</f>
        <v>4109</v>
      </c>
      <c r="E11" s="11" t="n">
        <f aca="false">INDEX(Data_Category!$E$2:$E$26,MATCH($A11,Data_Category!$A$2:$A$26,0))</f>
        <v>177.027298612801</v>
      </c>
      <c r="F11" s="11" t="n">
        <f aca="false">INDEX(Data_Category!$F$2:$F$26,MATCH($A11,Data_Category!$A$2:$A$26,0))</f>
        <v>20.2457215867608</v>
      </c>
      <c r="G11" s="8" t="n">
        <f aca="false">INDEX(Data_Category!$G$2:$G$26,MATCH($A11,Data_Category!$A$2:$A$26,0))</f>
        <v>3.83523971769287</v>
      </c>
      <c r="H11" s="13" t="n">
        <f aca="false">INDEX(Data_Category!$H$2:$H$26,MATCH($A11,Data_Category!$A$2:$A$26,0))</f>
        <v>0.241177902165977</v>
      </c>
      <c r="I11" s="15" t="n">
        <f aca="false">B11/SUM(Data_Category!$B$2:$B$26)</f>
        <v>0.0452832980965748</v>
      </c>
      <c r="J11" s="1" t="n">
        <f aca="false">RANK(B11,Data_Category!$B$2:$B$26)</f>
        <v>10</v>
      </c>
    </row>
    <row r="12" customFormat="false" ht="15" hidden="false" customHeight="true" outlineLevel="0" collapsed="false">
      <c r="A12" s="1" t="str">
        <f aca="false">INDEX(Data_Category!$A$2:$A$26,MATCH(B12,Data_Category!$B$2:$B$26,0))</f>
        <v>housewares</v>
      </c>
      <c r="B12" s="11" t="n">
        <f aca="false">LARGE(Data_Category!$B$2:$B$26,11)</f>
        <v>717020.21</v>
      </c>
      <c r="C12" s="12" t="n">
        <f aca="false">INDEX(Data_Category!$C$2:$C$26,MATCH($A12,Data_Category!$A$2:$A$26,0))</f>
        <v>7160</v>
      </c>
      <c r="D12" s="12" t="n">
        <f aca="false">INDEX(Data_Category!$D$2:$D$26,MATCH($A12,Data_Category!$A$2:$A$26,0))</f>
        <v>7230</v>
      </c>
      <c r="E12" s="11" t="n">
        <f aca="false">INDEX(Data_Category!$E$2:$E$26,MATCH($A12,Data_Category!$A$2:$A$26,0))</f>
        <v>83.1148229598894</v>
      </c>
      <c r="F12" s="11" t="n">
        <f aca="false">INDEX(Data_Category!$F$2:$F$26,MATCH($A12,Data_Category!$A$2:$A$26,0))</f>
        <v>16.0580968188105</v>
      </c>
      <c r="G12" s="8" t="n">
        <f aca="false">INDEX(Data_Category!$G$2:$G$26,MATCH($A12,Data_Category!$A$2:$A$26,0))</f>
        <v>3.81272475795297</v>
      </c>
      <c r="H12" s="13" t="n">
        <f aca="false">INDEX(Data_Category!$H$2:$H$26,MATCH($A12,Data_Category!$A$2:$A$26,0))</f>
        <v>0.239419087136929</v>
      </c>
      <c r="I12" s="15" t="n">
        <f aca="false">B12/SUM(Data_Category!$B$2:$B$26)</f>
        <v>0.0400558186512743</v>
      </c>
      <c r="J12" s="1" t="n">
        <f aca="false">RANK(B12,Data_Category!$B$2:$B$26)</f>
        <v>11</v>
      </c>
    </row>
    <row r="13" customFormat="false" ht="15" hidden="false" customHeight="true" outlineLevel="0" collapsed="false">
      <c r="A13" s="1" t="str">
        <f aca="false">INDEX(Data_Category!$A$2:$A$26,MATCH(B13,Data_Category!$B$2:$B$26,0))</f>
        <v>office_furniture</v>
      </c>
      <c r="B13" s="11" t="n">
        <f aca="false">LARGE(Data_Category!$B$2:$B$26,12)</f>
        <v>707103.23</v>
      </c>
      <c r="C13" s="12" t="n">
        <f aca="false">INDEX(Data_Category!$C$2:$C$26,MATCH($A13,Data_Category!$A$2:$A$26,0))</f>
        <v>2311</v>
      </c>
      <c r="D13" s="12" t="n">
        <f aca="false">INDEX(Data_Category!$D$2:$D$26,MATCH($A13,Data_Category!$A$2:$A$26,0))</f>
        <v>2323</v>
      </c>
      <c r="E13" s="11" t="n">
        <f aca="false">INDEX(Data_Category!$E$2:$E$26,MATCH($A13,Data_Category!$A$2:$A$26,0))</f>
        <v>279.426715454154</v>
      </c>
      <c r="F13" s="11" t="n">
        <f aca="false">INDEX(Data_Category!$F$2:$F$26,MATCH($A13,Data_Category!$A$2:$A$26,0))</f>
        <v>24.9655488592338</v>
      </c>
      <c r="G13" s="8" t="n">
        <f aca="false">INDEX(Data_Category!$G$2:$G$26,MATCH($A13,Data_Category!$A$2:$A$26,0))</f>
        <v>3.82866982350409</v>
      </c>
      <c r="H13" s="13" t="n">
        <f aca="false">INDEX(Data_Category!$H$2:$H$26,MATCH($A13,Data_Category!$A$2:$A$26,0))</f>
        <v>0.235901851054671</v>
      </c>
      <c r="I13" s="15" t="n">
        <f aca="false">B13/SUM(Data_Category!$B$2:$B$26)</f>
        <v>0.0395018136917093</v>
      </c>
      <c r="J13" s="1" t="n">
        <f aca="false">RANK(B13,Data_Category!$B$2:$B$26)</f>
        <v>12</v>
      </c>
    </row>
    <row r="14" customFormat="false" ht="15" hidden="false" customHeight="true" outlineLevel="0" collapsed="false">
      <c r="A14" s="1" t="str">
        <f aca="false">INDEX(Data_Category!$A$2:$A$26,MATCH(B14,Data_Category!$B$2:$B$26,0))</f>
        <v>telephony</v>
      </c>
      <c r="B14" s="11" t="n">
        <f aca="false">LARGE(Data_Category!$B$2:$B$26,13)</f>
        <v>673721.88</v>
      </c>
      <c r="C14" s="12" t="n">
        <f aca="false">INDEX(Data_Category!$C$2:$C$26,MATCH($A14,Data_Category!$A$2:$A$26,0))</f>
        <v>5734</v>
      </c>
      <c r="D14" s="12" t="n">
        <f aca="false">INDEX(Data_Category!$D$2:$D$26,MATCH($A14,Data_Category!$A$2:$A$26,0))</f>
        <v>5789</v>
      </c>
      <c r="E14" s="11" t="n">
        <f aca="false">INDEX(Data_Category!$E$2:$E$26,MATCH($A14,Data_Category!$A$2:$A$26,0))</f>
        <v>99.5758939367766</v>
      </c>
      <c r="F14" s="11" t="n">
        <f aca="false">INDEX(Data_Category!$F$2:$F$26,MATCH($A14,Data_Category!$A$2:$A$26,0))</f>
        <v>16.8037709448955</v>
      </c>
      <c r="G14" s="8" t="n">
        <f aca="false">INDEX(Data_Category!$G$2:$G$26,MATCH($A14,Data_Category!$A$2:$A$26,0))</f>
        <v>3.86958023838314</v>
      </c>
      <c r="H14" s="13" t="n">
        <f aca="false">INDEX(Data_Category!$H$2:$H$26,MATCH($A14,Data_Category!$A$2:$A$26,0))</f>
        <v>0.236137502159268</v>
      </c>
      <c r="I14" s="15" t="n">
        <f aca="false">B14/SUM(Data_Category!$B$2:$B$26)</f>
        <v>0.0376369885678335</v>
      </c>
      <c r="J14" s="1" t="n">
        <f aca="false">RANK(B14,Data_Category!$B$2:$B$26)</f>
        <v>13</v>
      </c>
    </row>
    <row r="15" customFormat="false" ht="15" hidden="false" customHeight="true" outlineLevel="0" collapsed="false">
      <c r="A15" s="1" t="str">
        <f aca="false">INDEX(Data_Category!$A$2:$A$26,MATCH(B15,Data_Category!$B$2:$B$26,0))</f>
        <v>toys</v>
      </c>
      <c r="B15" s="11" t="n">
        <f aca="false">LARGE(Data_Category!$B$2:$B$26,14)</f>
        <v>516803.33</v>
      </c>
      <c r="C15" s="12" t="n">
        <f aca="false">INDEX(Data_Category!$C$2:$C$26,MATCH($A15,Data_Category!$A$2:$A$26,0))</f>
        <v>4666</v>
      </c>
      <c r="D15" s="12" t="n">
        <f aca="false">INDEX(Data_Category!$D$2:$D$26,MATCH($A15,Data_Category!$A$2:$A$26,0))</f>
        <v>4690</v>
      </c>
      <c r="E15" s="11" t="n">
        <f aca="false">INDEX(Data_Category!$E$2:$E$26,MATCH($A15,Data_Category!$A$2:$A$26,0))</f>
        <v>93.6908336886994</v>
      </c>
      <c r="F15" s="11" t="n">
        <f aca="false">INDEX(Data_Category!$F$2:$F$26,MATCH($A15,Data_Category!$A$2:$A$26,0))</f>
        <v>16.5017739872068</v>
      </c>
      <c r="G15" s="8" t="n">
        <f aca="false">INDEX(Data_Category!$G$2:$G$26,MATCH($A15,Data_Category!$A$2:$A$26,0))</f>
        <v>3.84946695095949</v>
      </c>
      <c r="H15" s="13" t="n">
        <f aca="false">INDEX(Data_Category!$H$2:$H$26,MATCH($A15,Data_Category!$A$2:$A$26,0))</f>
        <v>0.238805970149254</v>
      </c>
      <c r="I15" s="15" t="n">
        <f aca="false">B15/SUM(Data_Category!$B$2:$B$26)</f>
        <v>0.0288708465621278</v>
      </c>
      <c r="J15" s="1" t="n">
        <f aca="false">RANK(B15,Data_Category!$B$2:$B$26)</f>
        <v>14</v>
      </c>
    </row>
    <row r="16" customFormat="false" ht="15" hidden="false" customHeight="true" outlineLevel="0" collapsed="false">
      <c r="A16" s="1" t="str">
        <f aca="false">INDEX(Data_Category!$A$2:$A$26,MATCH(B16,Data_Category!$B$2:$B$26,0))</f>
        <v>home_appliances</v>
      </c>
      <c r="B16" s="11" t="n">
        <f aca="false">LARGE(Data_Category!$B$2:$B$26,15)</f>
        <v>510853.57</v>
      </c>
      <c r="C16" s="12" t="n">
        <f aca="false">INDEX(Data_Category!$C$2:$C$26,MATCH($A16,Data_Category!$A$2:$A$26,0))</f>
        <v>1617</v>
      </c>
      <c r="D16" s="12" t="n">
        <f aca="false">INDEX(Data_Category!$D$2:$D$26,MATCH($A16,Data_Category!$A$2:$A$26,0))</f>
        <v>1622</v>
      </c>
      <c r="E16" s="11" t="n">
        <f aca="false">INDEX(Data_Category!$E$2:$E$26,MATCH($A16,Data_Category!$A$2:$A$26,0))</f>
        <v>289.466689272503</v>
      </c>
      <c r="F16" s="11" t="n">
        <f aca="false">INDEX(Data_Category!$F$2:$F$26,MATCH($A16,Data_Category!$A$2:$A$26,0))</f>
        <v>25.4861898890259</v>
      </c>
      <c r="G16" s="8" t="n">
        <f aca="false">INDEX(Data_Category!$G$2:$G$26,MATCH($A16,Data_Category!$A$2:$A$26,0))</f>
        <v>3.8403205918619</v>
      </c>
      <c r="H16" s="13" t="n">
        <f aca="false">INDEX(Data_Category!$H$2:$H$26,MATCH($A16,Data_Category!$A$2:$A$26,0))</f>
        <v>0.234278668310728</v>
      </c>
      <c r="I16" s="15" t="n">
        <f aca="false">B16/SUM(Data_Category!$B$2:$B$26)</f>
        <v>0.0285384674963012</v>
      </c>
      <c r="J16" s="1" t="n">
        <f aca="false">RANK(B16,Data_Category!$B$2:$B$26)</f>
        <v>15</v>
      </c>
    </row>
    <row r="17" customFormat="false" ht="15" hidden="false" customHeight="true" outlineLevel="0" collapsed="false">
      <c r="A17" s="1" t="str">
        <f aca="false">INDEX(Data_Category!$A$2:$A$26,MATCH(B17,Data_Category!$B$2:$B$26,0))</f>
        <v>baby</v>
      </c>
      <c r="B17" s="11" t="n">
        <f aca="false">LARGE(Data_Category!$B$2:$B$26,16)</f>
        <v>477829.58</v>
      </c>
      <c r="C17" s="12" t="n">
        <f aca="false">INDEX(Data_Category!$C$2:$C$26,MATCH($A17,Data_Category!$A$2:$A$26,0))</f>
        <v>3381</v>
      </c>
      <c r="D17" s="12" t="n">
        <f aca="false">INDEX(Data_Category!$D$2:$D$26,MATCH($A17,Data_Category!$A$2:$A$26,0))</f>
        <v>3399</v>
      </c>
      <c r="E17" s="11" t="n">
        <f aca="false">INDEX(Data_Category!$E$2:$E$26,MATCH($A17,Data_Category!$A$2:$A$26,0))</f>
        <v>122.665822300677</v>
      </c>
      <c r="F17" s="11" t="n">
        <f aca="false">INDEX(Data_Category!$F$2:$F$26,MATCH($A17,Data_Category!$A$2:$A$26,0))</f>
        <v>17.9136363636364</v>
      </c>
      <c r="G17" s="8" t="n">
        <f aca="false">INDEX(Data_Category!$G$2:$G$26,MATCH($A17,Data_Category!$A$2:$A$26,0))</f>
        <v>3.82847896440129</v>
      </c>
      <c r="H17" s="13" t="n">
        <f aca="false">INDEX(Data_Category!$H$2:$H$26,MATCH($A17,Data_Category!$A$2:$A$26,0))</f>
        <v>0.23918799646955</v>
      </c>
      <c r="I17" s="15" t="n">
        <f aca="false">B17/SUM(Data_Category!$B$2:$B$26)</f>
        <v>0.0266936060319619</v>
      </c>
      <c r="J17" s="1" t="n">
        <f aca="false">RANK(B17,Data_Category!$B$2:$B$26)</f>
        <v>16</v>
      </c>
    </row>
    <row r="18" customFormat="false" ht="15" hidden="false" customHeight="true" outlineLevel="0" collapsed="false">
      <c r="A18" s="1" t="str">
        <f aca="false">INDEX(Data_Category!$A$2:$A$26,MATCH(B18,Data_Category!$B$2:$B$26,0))</f>
        <v>perfumery</v>
      </c>
      <c r="B18" s="11" t="n">
        <f aca="false">LARGE(Data_Category!$B$2:$B$26,17)</f>
        <v>462015.16</v>
      </c>
      <c r="C18" s="12" t="n">
        <f aca="false">INDEX(Data_Category!$C$2:$C$26,MATCH($A18,Data_Category!$A$2:$A$26,0))</f>
        <v>3768</v>
      </c>
      <c r="D18" s="12" t="n">
        <f aca="false">INDEX(Data_Category!$D$2:$D$26,MATCH($A18,Data_Category!$A$2:$A$26,0))</f>
        <v>3794</v>
      </c>
      <c r="E18" s="11" t="n">
        <f aca="false">INDEX(Data_Category!$E$2:$E$26,MATCH($A18,Data_Category!$A$2:$A$26,0))</f>
        <v>104.682395888245</v>
      </c>
      <c r="F18" s="11" t="n">
        <f aca="false">INDEX(Data_Category!$F$2:$F$26,MATCH($A18,Data_Category!$A$2:$A$26,0))</f>
        <v>17.0928176067475</v>
      </c>
      <c r="G18" s="8" t="n">
        <f aca="false">INDEX(Data_Category!$G$2:$G$26,MATCH($A18,Data_Category!$A$2:$A$26,0))</f>
        <v>3.83289404322615</v>
      </c>
      <c r="H18" s="13" t="n">
        <f aca="false">INDEX(Data_Category!$H$2:$H$26,MATCH($A18,Data_Category!$A$2:$A$26,0))</f>
        <v>0.240643120716921</v>
      </c>
      <c r="I18" s="15" t="n">
        <f aca="false">B18/SUM(Data_Category!$B$2:$B$26)</f>
        <v>0.0258101448257637</v>
      </c>
      <c r="J18" s="1" t="n">
        <f aca="false">RANK(B18,Data_Category!$B$2:$B$26)</f>
        <v>17</v>
      </c>
    </row>
    <row r="19" customFormat="false" ht="15" hidden="false" customHeight="true" outlineLevel="0" collapsed="false">
      <c r="A19" s="1" t="str">
        <f aca="false">INDEX(Data_Category!$A$2:$A$26,MATCH(B19,Data_Category!$B$2:$B$26,0))</f>
        <v>pet_shop</v>
      </c>
      <c r="B19" s="11" t="n">
        <f aca="false">LARGE(Data_Category!$B$2:$B$26,18)</f>
        <v>304219.86</v>
      </c>
      <c r="C19" s="12" t="n">
        <f aca="false">INDEX(Data_Category!$C$2:$C$26,MATCH($A19,Data_Category!$A$2:$A$26,0))</f>
        <v>2356</v>
      </c>
      <c r="D19" s="12" t="n">
        <f aca="false">INDEX(Data_Category!$D$2:$D$26,MATCH($A19,Data_Category!$A$2:$A$26,0))</f>
        <v>2363</v>
      </c>
      <c r="E19" s="11" t="n">
        <f aca="false">INDEX(Data_Category!$E$2:$E$26,MATCH($A19,Data_Category!$A$2:$A$26,0))</f>
        <v>111.342297926365</v>
      </c>
      <c r="F19" s="11" t="n">
        <f aca="false">INDEX(Data_Category!$F$2:$F$26,MATCH($A19,Data_Category!$A$2:$A$26,0))</f>
        <v>17.4007659754549</v>
      </c>
      <c r="G19" s="8" t="n">
        <f aca="false">INDEX(Data_Category!$G$2:$G$26,MATCH($A19,Data_Category!$A$2:$A$26,0))</f>
        <v>3.81972069403301</v>
      </c>
      <c r="H19" s="13" t="n">
        <f aca="false">INDEX(Data_Category!$H$2:$H$26,MATCH($A19,Data_Category!$A$2:$A$26,0))</f>
        <v>0.245873889123995</v>
      </c>
      <c r="I19" s="15" t="n">
        <f aca="false">B19/SUM(Data_Category!$B$2:$B$26)</f>
        <v>0.0169950238114991</v>
      </c>
      <c r="J19" s="1" t="n">
        <f aca="false">RANK(B19,Data_Category!$B$2:$B$26)</f>
        <v>18</v>
      </c>
    </row>
    <row r="20" customFormat="false" ht="15" hidden="false" customHeight="true" outlineLevel="0" collapsed="false">
      <c r="A20" s="1" t="str">
        <f aca="false">INDEX(Data_Category!$A$2:$A$26,MATCH(B20,Data_Category!$B$2:$B$26,0))</f>
        <v>fashion_bags_accessories</v>
      </c>
      <c r="B20" s="11" t="n">
        <f aca="false">LARGE(Data_Category!$B$2:$B$26,19)</f>
        <v>300384.06</v>
      </c>
      <c r="C20" s="12" t="n">
        <f aca="false">INDEX(Data_Category!$C$2:$C$26,MATCH($A20,Data_Category!$A$2:$A$26,0))</f>
        <v>2861</v>
      </c>
      <c r="D20" s="12" t="n">
        <f aca="false">INDEX(Data_Category!$D$2:$D$26,MATCH($A20,Data_Category!$A$2:$A$26,0))</f>
        <v>2874</v>
      </c>
      <c r="E20" s="11" t="n">
        <f aca="false">INDEX(Data_Category!$E$2:$E$26,MATCH($A20,Data_Category!$A$2:$A$26,0))</f>
        <v>88.2784029227558</v>
      </c>
      <c r="F20" s="11" t="n">
        <f aca="false">INDEX(Data_Category!$F$2:$F$26,MATCH($A20,Data_Category!$A$2:$A$26,0))</f>
        <v>16.239363256785</v>
      </c>
      <c r="G20" s="8" t="n">
        <f aca="false">INDEX(Data_Category!$G$2:$G$26,MATCH($A20,Data_Category!$A$2:$A$26,0))</f>
        <v>3.83507306889353</v>
      </c>
      <c r="H20" s="13" t="n">
        <f aca="false">INDEX(Data_Category!$H$2:$H$26,MATCH($A20,Data_Category!$A$2:$A$26,0))</f>
        <v>0.238691718858733</v>
      </c>
      <c r="I20" s="15" t="n">
        <f aca="false">B20/SUM(Data_Category!$B$2:$B$26)</f>
        <v>0.0167807396015985</v>
      </c>
      <c r="J20" s="1" t="n">
        <f aca="false">RANK(B20,Data_Category!$B$2:$B$26)</f>
        <v>19</v>
      </c>
    </row>
    <row r="21" customFormat="false" ht="15" hidden="false" customHeight="true" outlineLevel="0" collapsed="false">
      <c r="A21" s="1" t="str">
        <f aca="false">INDEX(Data_Category!$A$2:$A$26,MATCH(B21,Data_Category!$B$2:$B$26,0))</f>
        <v>luggage_accessories</v>
      </c>
      <c r="B21" s="11" t="n">
        <f aca="false">LARGE(Data_Category!$B$2:$B$26,20)</f>
        <v>287343.68</v>
      </c>
      <c r="C21" s="12" t="n">
        <f aca="false">INDEX(Data_Category!$C$2:$C$26,MATCH($A21,Data_Category!$A$2:$A$26,0))</f>
        <v>1657</v>
      </c>
      <c r="D21" s="12" t="n">
        <f aca="false">INDEX(Data_Category!$D$2:$D$26,MATCH($A21,Data_Category!$A$2:$A$26,0))</f>
        <v>1662</v>
      </c>
      <c r="E21" s="11" t="n">
        <f aca="false">INDEX(Data_Category!$E$2:$E$26,MATCH($A21,Data_Category!$A$2:$A$26,0))</f>
        <v>153.636419975933</v>
      </c>
      <c r="F21" s="11" t="n">
        <f aca="false">INDEX(Data_Category!$F$2:$F$26,MATCH($A21,Data_Category!$A$2:$A$26,0))</f>
        <v>19.253880866426</v>
      </c>
      <c r="G21" s="8" t="n">
        <f aca="false">INDEX(Data_Category!$G$2:$G$26,MATCH($A21,Data_Category!$A$2:$A$26,0))</f>
        <v>3.82611311672684</v>
      </c>
      <c r="H21" s="13" t="n">
        <f aca="false">INDEX(Data_Category!$H$2:$H$26,MATCH($A21,Data_Category!$A$2:$A$26,0))</f>
        <v>0.242478941034898</v>
      </c>
      <c r="I21" s="15" t="n">
        <f aca="false">B21/SUM(Data_Category!$B$2:$B$26)</f>
        <v>0.0160522481460736</v>
      </c>
      <c r="J21" s="1" t="n">
        <f aca="false">RANK(B21,Data_Category!$B$2:$B$26)</f>
        <v>20</v>
      </c>
    </row>
    <row r="22" customFormat="false" ht="15" hidden="false" customHeight="true" outlineLevel="0" collapsed="false">
      <c r="A22" s="1" t="str">
        <f aca="false">INDEX(Data_Category!$A$2:$A$26,MATCH(B22,Data_Category!$B$2:$B$26,0))</f>
        <v>audio</v>
      </c>
      <c r="B22" s="11" t="n">
        <f aca="false">LARGE(Data_Category!$B$2:$B$26,21)</f>
        <v>260449.72</v>
      </c>
      <c r="C22" s="12" t="n">
        <f aca="false">INDEX(Data_Category!$C$2:$C$26,MATCH($A22,Data_Category!$A$2:$A$26,0))</f>
        <v>1255</v>
      </c>
      <c r="D22" s="12" t="n">
        <f aca="false">INDEX(Data_Category!$D$2:$D$26,MATCH($A22,Data_Category!$A$2:$A$26,0))</f>
        <v>1256</v>
      </c>
      <c r="E22" s="11" t="n">
        <f aca="false">INDEX(Data_Category!$E$2:$E$26,MATCH($A22,Data_Category!$A$2:$A$26,0))</f>
        <v>186.624426751592</v>
      </c>
      <c r="F22" s="11" t="n">
        <f aca="false">INDEX(Data_Category!$F$2:$F$26,MATCH($A22,Data_Category!$A$2:$A$26,0))</f>
        <v>20.74</v>
      </c>
      <c r="G22" s="8" t="n">
        <f aca="false">INDEX(Data_Category!$G$2:$G$26,MATCH($A22,Data_Category!$A$2:$A$26,0))</f>
        <v>3.80732484076433</v>
      </c>
      <c r="H22" s="13" t="n">
        <f aca="false">INDEX(Data_Category!$H$2:$H$26,MATCH($A22,Data_Category!$A$2:$A$26,0))</f>
        <v>0.253184713375796</v>
      </c>
      <c r="I22" s="15" t="n">
        <f aca="false">B22/SUM(Data_Category!$B$2:$B$26)</f>
        <v>0.0145498364015362</v>
      </c>
      <c r="J22" s="1" t="n">
        <f aca="false">RANK(B22,Data_Category!$B$2:$B$26)</f>
        <v>21</v>
      </c>
    </row>
    <row r="23" customFormat="false" ht="15" hidden="false" customHeight="true" outlineLevel="0" collapsed="false">
      <c r="A23" s="1" t="str">
        <f aca="false">INDEX(Data_Category!$A$2:$A$26,MATCH(B23,Data_Category!$B$2:$B$26,0))</f>
        <v>stationery</v>
      </c>
      <c r="B23" s="11" t="n">
        <f aca="false">LARGE(Data_Category!$B$2:$B$26,22)</f>
        <v>246361.02</v>
      </c>
      <c r="C23" s="12" t="n">
        <f aca="false">INDEX(Data_Category!$C$2:$C$26,MATCH($A23,Data_Category!$A$2:$A$26,0))</f>
        <v>2991</v>
      </c>
      <c r="D23" s="12" t="n">
        <f aca="false">INDEX(Data_Category!$D$2:$D$26,MATCH($A23,Data_Category!$A$2:$A$26,0))</f>
        <v>3000</v>
      </c>
      <c r="E23" s="11" t="n">
        <f aca="false">INDEX(Data_Category!$E$2:$E$26,MATCH($A23,Data_Category!$A$2:$A$26,0))</f>
        <v>66.76855</v>
      </c>
      <c r="F23" s="11" t="n">
        <f aca="false">INDEX(Data_Category!$F$2:$F$26,MATCH($A23,Data_Category!$A$2:$A$26,0))</f>
        <v>15.35179</v>
      </c>
      <c r="G23" s="8" t="n">
        <f aca="false">INDEX(Data_Category!$G$2:$G$26,MATCH($A23,Data_Category!$A$2:$A$26,0))</f>
        <v>3.823</v>
      </c>
      <c r="H23" s="13" t="n">
        <f aca="false">INDEX(Data_Category!$H$2:$H$26,MATCH($A23,Data_Category!$A$2:$A$26,0))</f>
        <v>0.239333333333333</v>
      </c>
      <c r="I23" s="15" t="n">
        <f aca="false">B23/SUM(Data_Category!$B$2:$B$26)</f>
        <v>0.0137627813027236</v>
      </c>
      <c r="J23" s="1" t="n">
        <f aca="false">RANK(B23,Data_Category!$B$2:$B$26)</f>
        <v>22</v>
      </c>
    </row>
    <row r="24" customFormat="false" ht="15" hidden="false" customHeight="true" outlineLevel="0" collapsed="false">
      <c r="A24" s="1" t="str">
        <f aca="false">INDEX(Data_Category!$A$2:$A$26,MATCH(B24,Data_Category!$B$2:$B$26,0))</f>
        <v>musical_instruments</v>
      </c>
      <c r="B24" s="11" t="n">
        <f aca="false">LARGE(Data_Category!$B$2:$B$26,23)</f>
        <v>234496.85</v>
      </c>
      <c r="C24" s="12" t="n">
        <f aca="false">INDEX(Data_Category!$C$2:$C$26,MATCH($A24,Data_Category!$A$2:$A$26,0))</f>
        <v>1003</v>
      </c>
      <c r="D24" s="12" t="n">
        <f aca="false">INDEX(Data_Category!$D$2:$D$26,MATCH($A24,Data_Category!$A$2:$A$26,0))</f>
        <v>1004</v>
      </c>
      <c r="E24" s="11" t="n">
        <f aca="false">INDEX(Data_Category!$E$2:$E$26,MATCH($A24,Data_Category!$A$2:$A$26,0))</f>
        <v>211.673306772908</v>
      </c>
      <c r="F24" s="11" t="n">
        <f aca="false">INDEX(Data_Category!$F$2:$F$26,MATCH($A24,Data_Category!$A$2:$A$26,0))</f>
        <v>21.8892928286853</v>
      </c>
      <c r="G24" s="8" t="n">
        <f aca="false">INDEX(Data_Category!$G$2:$G$26,MATCH($A24,Data_Category!$A$2:$A$26,0))</f>
        <v>3.81872509960159</v>
      </c>
      <c r="H24" s="13" t="n">
        <f aca="false">INDEX(Data_Category!$H$2:$H$26,MATCH($A24,Data_Category!$A$2:$A$26,0))</f>
        <v>0.24203187250996</v>
      </c>
      <c r="I24" s="15" t="n">
        <f aca="false">B24/SUM(Data_Category!$B$2:$B$26)</f>
        <v>0.0130999979734115</v>
      </c>
      <c r="J24" s="1" t="n">
        <f aca="false">RANK(B24,Data_Category!$B$2:$B$26)</f>
        <v>23</v>
      </c>
    </row>
    <row r="25" customFormat="false" ht="15" hidden="false" customHeight="true" outlineLevel="0" collapsed="false">
      <c r="A25" s="1" t="str">
        <f aca="false">INDEX(Data_Category!$A$2:$A$26,MATCH(B25,Data_Category!$B$2:$B$26,0))</f>
        <v>books_general_interest</v>
      </c>
      <c r="B25" s="11" t="n">
        <f aca="false">LARGE(Data_Category!$B$2:$B$26,24)</f>
        <v>150438.55</v>
      </c>
      <c r="C25" s="12" t="n">
        <f aca="false">INDEX(Data_Category!$C$2:$C$26,MATCH($A25,Data_Category!$A$2:$A$26,0))</f>
        <v>1978</v>
      </c>
      <c r="D25" s="12" t="n">
        <f aca="false">INDEX(Data_Category!$D$2:$D$26,MATCH($A25,Data_Category!$A$2:$A$26,0))</f>
        <v>1985</v>
      </c>
      <c r="E25" s="11" t="n">
        <f aca="false">INDEX(Data_Category!$E$2:$E$26,MATCH($A25,Data_Category!$A$2:$A$26,0))</f>
        <v>60.7610680100756</v>
      </c>
      <c r="F25" s="11" t="n">
        <f aca="false">INDEX(Data_Category!$F$2:$F$26,MATCH($A25,Data_Category!$A$2:$A$26,0))</f>
        <v>15.0266146095718</v>
      </c>
      <c r="G25" s="8" t="n">
        <f aca="false">INDEX(Data_Category!$G$2:$G$26,MATCH($A25,Data_Category!$A$2:$A$26,0))</f>
        <v>3.78639798488665</v>
      </c>
      <c r="H25" s="13" t="n">
        <f aca="false">INDEX(Data_Category!$H$2:$H$26,MATCH($A25,Data_Category!$A$2:$A$26,0))</f>
        <v>0.235264483627204</v>
      </c>
      <c r="I25" s="15" t="n">
        <f aca="false">B25/SUM(Data_Category!$B$2:$B$26)</f>
        <v>0.00840414146340542</v>
      </c>
      <c r="J25" s="1" t="n">
        <f aca="false">RANK(B25,Data_Category!$B$2:$B$26)</f>
        <v>24</v>
      </c>
    </row>
    <row r="26" customFormat="false" ht="15" hidden="false" customHeight="true" outlineLevel="0" collapsed="false">
      <c r="A26" s="1" t="str">
        <f aca="false">INDEX(Data_Category!$A$2:$A$26,MATCH(B26,Data_Category!$B$2:$B$26,0))</f>
        <v>food</v>
      </c>
      <c r="B26" s="11" t="n">
        <f aca="false">LARGE(Data_Category!$B$2:$B$26,25)</f>
        <v>49625.13</v>
      </c>
      <c r="C26" s="12" t="n">
        <f aca="false">INDEX(Data_Category!$C$2:$C$26,MATCH($A26,Data_Category!$A$2:$A$26,0))</f>
        <v>782</v>
      </c>
      <c r="D26" s="12" t="n">
        <f aca="false">INDEX(Data_Category!$D$2:$D$26,MATCH($A26,Data_Category!$A$2:$A$26,0))</f>
        <v>783</v>
      </c>
      <c r="E26" s="11" t="n">
        <f aca="false">INDEX(Data_Category!$E$2:$E$26,MATCH($A26,Data_Category!$A$2:$A$26,0))</f>
        <v>48.9326819923372</v>
      </c>
      <c r="F26" s="11" t="n">
        <f aca="false">INDEX(Data_Category!$F$2:$F$26,MATCH($A26,Data_Category!$A$2:$A$26,0))</f>
        <v>14.4455172413793</v>
      </c>
      <c r="G26" s="8" t="n">
        <f aca="false">INDEX(Data_Category!$G$2:$G$26,MATCH($A26,Data_Category!$A$2:$A$26,0))</f>
        <v>3.77905491698595</v>
      </c>
      <c r="H26" s="13" t="n">
        <f aca="false">INDEX(Data_Category!$H$2:$H$26,MATCH($A26,Data_Category!$A$2:$A$26,0))</f>
        <v>0.231162196679438</v>
      </c>
      <c r="I26" s="15" t="n">
        <f aca="false">B26/SUM(Data_Category!$B$2:$B$26)</f>
        <v>0.00277227221785828</v>
      </c>
      <c r="J26" s="1" t="n">
        <f aca="false">RANK(B26,Data_Category!$B$2:$B$26)</f>
        <v>25</v>
      </c>
    </row>
    <row r="27" customFormat="false" ht="15" hidden="false" customHeight="true" outlineLevel="0" collapsed="false">
      <c r="B27" s="11"/>
      <c r="C27" s="12"/>
      <c r="D27" s="12"/>
      <c r="E27" s="11"/>
      <c r="F27" s="11"/>
      <c r="G27" s="8"/>
      <c r="H27" s="13"/>
    </row>
    <row r="28" customFormat="false" ht="15" hidden="false" customHeight="true" outlineLevel="0" collapsed="false">
      <c r="A28" s="16" t="s">
        <v>34</v>
      </c>
      <c r="B28" s="11"/>
      <c r="C28" s="12"/>
      <c r="D28" s="12"/>
      <c r="E28" s="11"/>
      <c r="F28" s="11"/>
      <c r="G28" s="8"/>
      <c r="H28" s="13"/>
    </row>
    <row r="29" customFormat="false" ht="15" hidden="false" customHeight="true" outlineLevel="0" collapsed="false">
      <c r="B29" s="11"/>
      <c r="C29" s="12"/>
      <c r="D29" s="12"/>
      <c r="E29" s="11"/>
      <c r="F29" s="11"/>
      <c r="G29" s="8"/>
      <c r="H29" s="13"/>
    </row>
    <row r="30" customFormat="false" ht="15" hidden="false" customHeight="true" outlineLevel="0" collapsed="false">
      <c r="B30" s="11"/>
      <c r="C30" s="12"/>
      <c r="D30" s="12"/>
      <c r="E30" s="11"/>
      <c r="F30" s="11"/>
      <c r="G30" s="8"/>
      <c r="H30" s="13"/>
    </row>
    <row r="31" customFormat="false" ht="15" hidden="false" customHeight="true" outlineLevel="0" collapsed="false">
      <c r="B31" s="11"/>
      <c r="C31" s="12"/>
      <c r="D31" s="12"/>
      <c r="E31" s="11"/>
      <c r="F31" s="11"/>
      <c r="G31" s="8"/>
      <c r="H31" s="13"/>
    </row>
    <row r="32" customFormat="false" ht="15" hidden="false" customHeight="true" outlineLevel="0" collapsed="false">
      <c r="B32" s="11"/>
      <c r="C32" s="12"/>
      <c r="D32" s="12"/>
      <c r="E32" s="11"/>
      <c r="F32" s="11"/>
      <c r="G32" s="8"/>
      <c r="H32" s="13"/>
    </row>
    <row r="33" customFormat="false" ht="15" hidden="false" customHeight="true" outlineLevel="0" collapsed="false">
      <c r="B33" s="11"/>
      <c r="C33" s="12"/>
      <c r="D33" s="12"/>
      <c r="E33" s="11"/>
      <c r="F33" s="11"/>
      <c r="G33" s="8"/>
      <c r="H33" s="13"/>
    </row>
    <row r="34" customFormat="false" ht="15" hidden="false" customHeight="true" outlineLevel="0" collapsed="false">
      <c r="B34" s="11"/>
      <c r="C34" s="12"/>
      <c r="D34" s="12"/>
      <c r="E34" s="11"/>
      <c r="F34" s="11"/>
      <c r="G34" s="8"/>
      <c r="H34" s="13"/>
    </row>
    <row r="35" customFormat="false" ht="15" hidden="false" customHeight="true" outlineLevel="0" collapsed="false">
      <c r="B35" s="11"/>
      <c r="C35" s="12"/>
      <c r="D35" s="12"/>
      <c r="E35" s="11"/>
      <c r="F35" s="11"/>
      <c r="G35" s="8"/>
      <c r="H35" s="13"/>
    </row>
    <row r="36" customFormat="false" ht="15" hidden="false" customHeight="true" outlineLevel="0" collapsed="false">
      <c r="B36" s="11"/>
      <c r="C36" s="12"/>
      <c r="D36" s="12"/>
      <c r="E36" s="11"/>
      <c r="F36" s="11"/>
      <c r="G36" s="8"/>
      <c r="H36" s="13"/>
    </row>
    <row r="37" customFormat="false" ht="15" hidden="false" customHeight="true" outlineLevel="0" collapsed="false">
      <c r="B37" s="11"/>
      <c r="C37" s="12"/>
      <c r="D37" s="12"/>
      <c r="E37" s="11"/>
      <c r="F37" s="11"/>
      <c r="G37" s="8"/>
      <c r="H37" s="13"/>
    </row>
    <row r="38" customFormat="false" ht="15" hidden="false" customHeight="true" outlineLevel="0" collapsed="false">
      <c r="B38" s="11"/>
      <c r="C38" s="12"/>
      <c r="D38" s="12"/>
      <c r="E38" s="11"/>
      <c r="F38" s="11"/>
      <c r="G38" s="8"/>
      <c r="H38" s="13"/>
    </row>
    <row r="39" customFormat="false" ht="15" hidden="false" customHeight="true" outlineLevel="0" collapsed="false">
      <c r="B39" s="11"/>
      <c r="C39" s="12"/>
      <c r="D39" s="12"/>
      <c r="E39" s="11"/>
      <c r="F39" s="11"/>
      <c r="G39" s="8"/>
      <c r="H39" s="13"/>
    </row>
    <row r="40" customFormat="false" ht="15" hidden="false" customHeight="true" outlineLevel="0" collapsed="false">
      <c r="B40" s="11"/>
      <c r="C40" s="12"/>
      <c r="D40" s="12"/>
      <c r="E40" s="11"/>
      <c r="F40" s="11"/>
      <c r="G40" s="8"/>
      <c r="H40" s="13"/>
    </row>
    <row r="41" customFormat="false" ht="15" hidden="false" customHeight="true" outlineLevel="0" collapsed="false">
      <c r="B41" s="11"/>
      <c r="C41" s="12"/>
      <c r="D41" s="12"/>
      <c r="E41" s="11"/>
      <c r="F41" s="11"/>
      <c r="G41" s="8"/>
      <c r="H41" s="13"/>
    </row>
    <row r="42" customFormat="false" ht="15" hidden="false" customHeight="true" outlineLevel="0" collapsed="false">
      <c r="B42" s="11"/>
      <c r="C42" s="12"/>
      <c r="D42" s="12"/>
      <c r="E42" s="11"/>
      <c r="F42" s="11"/>
      <c r="G42" s="8"/>
      <c r="H42" s="13"/>
    </row>
    <row r="43" customFormat="false" ht="15" hidden="false" customHeight="true" outlineLevel="0" collapsed="false">
      <c r="B43" s="11"/>
      <c r="C43" s="12"/>
      <c r="D43" s="12"/>
      <c r="E43" s="11"/>
      <c r="F43" s="11"/>
      <c r="G43" s="8"/>
      <c r="H43" s="13"/>
    </row>
    <row r="44" customFormat="false" ht="15" hidden="false" customHeight="true" outlineLevel="0" collapsed="false">
      <c r="B44" s="11"/>
      <c r="C44" s="12"/>
      <c r="D44" s="12"/>
      <c r="E44" s="11"/>
      <c r="F44" s="11"/>
      <c r="G44" s="8"/>
      <c r="H44" s="13"/>
    </row>
    <row r="45" customFormat="false" ht="15" hidden="false" customHeight="true" outlineLevel="0" collapsed="false">
      <c r="B45" s="11"/>
      <c r="C45" s="12"/>
      <c r="D45" s="12"/>
      <c r="E45" s="11"/>
      <c r="F45" s="11"/>
      <c r="G45" s="8"/>
      <c r="H45" s="13"/>
    </row>
    <row r="46" customFormat="false" ht="15" hidden="false" customHeight="true" outlineLevel="0" collapsed="false">
      <c r="B46" s="11"/>
      <c r="C46" s="12"/>
      <c r="D46" s="12"/>
      <c r="E46" s="11"/>
      <c r="F46" s="11"/>
      <c r="G46" s="8"/>
      <c r="H46" s="13"/>
    </row>
    <row r="47" customFormat="false" ht="15" hidden="false" customHeight="true" outlineLevel="0" collapsed="false">
      <c r="B47" s="11"/>
      <c r="C47" s="12"/>
      <c r="D47" s="12"/>
      <c r="E47" s="11"/>
      <c r="F47" s="11"/>
      <c r="G47" s="8"/>
      <c r="H47" s="13"/>
    </row>
    <row r="48" customFormat="false" ht="15" hidden="false" customHeight="true" outlineLevel="0" collapsed="false">
      <c r="B48" s="11"/>
      <c r="C48" s="12"/>
      <c r="D48" s="12"/>
      <c r="E48" s="11"/>
      <c r="F48" s="11"/>
      <c r="G48" s="8"/>
      <c r="H48" s="13"/>
    </row>
    <row r="49" customFormat="false" ht="15" hidden="false" customHeight="true" outlineLevel="0" collapsed="false">
      <c r="B49" s="11"/>
      <c r="C49" s="12"/>
      <c r="D49" s="12"/>
      <c r="E49" s="11"/>
      <c r="F49" s="11"/>
      <c r="G49" s="8"/>
      <c r="H49" s="13"/>
    </row>
    <row r="50" customFormat="false" ht="15" hidden="false" customHeight="true" outlineLevel="0" collapsed="false">
      <c r="B50" s="11"/>
      <c r="C50" s="12"/>
      <c r="D50" s="12"/>
      <c r="E50" s="11"/>
      <c r="F50" s="11"/>
      <c r="G50" s="8"/>
      <c r="H50" s="13"/>
    </row>
    <row r="51" customFormat="false" ht="15" hidden="false" customHeight="true" outlineLevel="0" collapsed="false">
      <c r="B51" s="11"/>
      <c r="C51" s="12"/>
      <c r="D51" s="12"/>
      <c r="E51" s="11"/>
      <c r="F51" s="11"/>
      <c r="G51" s="8"/>
      <c r="H51" s="13"/>
    </row>
    <row r="52" customFormat="false" ht="15" hidden="false" customHeight="true" outlineLevel="0" collapsed="false">
      <c r="B52" s="11"/>
      <c r="C52" s="12"/>
      <c r="D52" s="12"/>
      <c r="E52" s="11"/>
      <c r="F52" s="11"/>
      <c r="G52" s="8"/>
      <c r="H52" s="13"/>
    </row>
    <row r="53" customFormat="false" ht="15" hidden="false" customHeight="true" outlineLevel="0" collapsed="false">
      <c r="B53" s="11"/>
      <c r="C53" s="12"/>
      <c r="D53" s="12"/>
      <c r="E53" s="11"/>
      <c r="F53" s="11"/>
      <c r="G53" s="8"/>
      <c r="H53" s="13"/>
    </row>
    <row r="54" customFormat="false" ht="15" hidden="false" customHeight="true" outlineLevel="0" collapsed="false">
      <c r="B54" s="11"/>
      <c r="C54" s="12"/>
      <c r="D54" s="12"/>
      <c r="E54" s="11"/>
      <c r="F54" s="11"/>
      <c r="G54" s="8"/>
      <c r="H54" s="13"/>
    </row>
    <row r="55" customFormat="false" ht="15" hidden="false" customHeight="true" outlineLevel="0" collapsed="false">
      <c r="B55" s="11"/>
      <c r="C55" s="12"/>
      <c r="D55" s="12"/>
      <c r="E55" s="11"/>
      <c r="F55" s="11"/>
      <c r="G55" s="8"/>
      <c r="H55" s="13"/>
    </row>
    <row r="56" customFormat="false" ht="15" hidden="false" customHeight="true" outlineLevel="0" collapsed="false">
      <c r="B56" s="11"/>
      <c r="C56" s="12"/>
      <c r="D56" s="12"/>
      <c r="E56" s="11"/>
      <c r="F56" s="11"/>
      <c r="G56" s="8"/>
      <c r="H56" s="13"/>
    </row>
    <row r="57" customFormat="false" ht="15" hidden="false" customHeight="true" outlineLevel="0" collapsed="false">
      <c r="B57" s="11"/>
      <c r="C57" s="12"/>
      <c r="D57" s="12"/>
      <c r="E57" s="11"/>
      <c r="F57" s="11"/>
      <c r="G57" s="8"/>
      <c r="H57" s="13"/>
    </row>
    <row r="58" customFormat="false" ht="15" hidden="false" customHeight="true" outlineLevel="0" collapsed="false">
      <c r="B58" s="11"/>
      <c r="C58" s="12"/>
      <c r="D58" s="12"/>
      <c r="E58" s="11"/>
      <c r="F58" s="11"/>
      <c r="G58" s="8"/>
      <c r="H58" s="13"/>
    </row>
    <row r="59" customFormat="false" ht="15" hidden="false" customHeight="true" outlineLevel="0" collapsed="false">
      <c r="B59" s="11"/>
      <c r="C59" s="12"/>
      <c r="D59" s="12"/>
      <c r="E59" s="11"/>
      <c r="F59" s="11"/>
      <c r="G59" s="8"/>
      <c r="H59" s="13"/>
    </row>
    <row r="60" customFormat="false" ht="15" hidden="false" customHeight="true" outlineLevel="0" collapsed="false">
      <c r="B60" s="11"/>
      <c r="C60" s="12"/>
      <c r="D60" s="12"/>
      <c r="E60" s="11"/>
      <c r="F60" s="11"/>
      <c r="G60" s="8"/>
      <c r="H60" s="13"/>
    </row>
    <row r="61" customFormat="false" ht="15" hidden="false" customHeight="true" outlineLevel="0" collapsed="false">
      <c r="B61" s="11"/>
      <c r="C61" s="12"/>
      <c r="D61" s="12"/>
      <c r="E61" s="11"/>
      <c r="F61" s="11"/>
      <c r="G61" s="8"/>
      <c r="H61" s="13"/>
    </row>
    <row r="62" customFormat="false" ht="15" hidden="false" customHeight="true" outlineLevel="0" collapsed="false">
      <c r="B62" s="11"/>
      <c r="C62" s="12"/>
      <c r="D62" s="12"/>
      <c r="E62" s="11"/>
      <c r="F62" s="11"/>
      <c r="G62" s="8"/>
      <c r="H62" s="13"/>
    </row>
    <row r="63" customFormat="false" ht="15" hidden="false" customHeight="true" outlineLevel="0" collapsed="false">
      <c r="B63" s="11"/>
      <c r="C63" s="12"/>
      <c r="D63" s="12"/>
      <c r="E63" s="11"/>
      <c r="F63" s="11"/>
      <c r="G63" s="8"/>
      <c r="H63" s="13"/>
    </row>
    <row r="64" customFormat="false" ht="15" hidden="false" customHeight="true" outlineLevel="0" collapsed="false">
      <c r="B64" s="11"/>
      <c r="C64" s="12"/>
      <c r="D64" s="12"/>
      <c r="E64" s="11"/>
      <c r="F64" s="11"/>
      <c r="G64" s="8"/>
      <c r="H64" s="13"/>
    </row>
    <row r="65" customFormat="false" ht="15" hidden="false" customHeight="true" outlineLevel="0" collapsed="false">
      <c r="B65" s="11"/>
      <c r="C65" s="12"/>
      <c r="D65" s="12"/>
      <c r="E65" s="11"/>
      <c r="F65" s="11"/>
      <c r="G65" s="8"/>
      <c r="H65" s="13"/>
    </row>
    <row r="66" customFormat="false" ht="15" hidden="false" customHeight="true" outlineLevel="0" collapsed="false">
      <c r="B66" s="11"/>
      <c r="C66" s="12"/>
      <c r="D66" s="12"/>
      <c r="E66" s="11"/>
      <c r="F66" s="11"/>
      <c r="G66" s="8"/>
      <c r="H66" s="13"/>
    </row>
    <row r="67" customFormat="false" ht="15" hidden="false" customHeight="true" outlineLevel="0" collapsed="false">
      <c r="B67" s="11"/>
      <c r="C67" s="12"/>
      <c r="D67" s="12"/>
      <c r="E67" s="11"/>
      <c r="F67" s="11"/>
      <c r="G67" s="8"/>
      <c r="H67" s="13"/>
    </row>
    <row r="68" customFormat="false" ht="15" hidden="false" customHeight="true" outlineLevel="0" collapsed="false">
      <c r="B68" s="11"/>
      <c r="C68" s="12"/>
      <c r="D68" s="12"/>
      <c r="E68" s="11"/>
      <c r="F68" s="11"/>
      <c r="G68" s="8"/>
      <c r="H68" s="13"/>
    </row>
    <row r="69" customFormat="false" ht="15" hidden="false" customHeight="true" outlineLevel="0" collapsed="false">
      <c r="B69" s="11"/>
      <c r="C69" s="12"/>
      <c r="D69" s="12"/>
      <c r="E69" s="11"/>
      <c r="F69" s="11"/>
      <c r="G69" s="8"/>
      <c r="H69" s="13"/>
    </row>
    <row r="70" customFormat="false" ht="15" hidden="false" customHeight="true" outlineLevel="0" collapsed="false">
      <c r="B70" s="11"/>
      <c r="C70" s="12"/>
      <c r="D70" s="12"/>
      <c r="E70" s="11"/>
      <c r="F70" s="11"/>
      <c r="G70" s="8"/>
      <c r="H70" s="13"/>
    </row>
    <row r="71" customFormat="false" ht="15" hidden="false" customHeight="true" outlineLevel="0" collapsed="false">
      <c r="B71" s="11"/>
      <c r="C71" s="12"/>
      <c r="D71" s="12"/>
      <c r="E71" s="11"/>
      <c r="F71" s="11"/>
      <c r="G71" s="8"/>
      <c r="H71" s="13"/>
    </row>
    <row r="72" customFormat="false" ht="15" hidden="false" customHeight="true" outlineLevel="0" collapsed="false">
      <c r="B72" s="11"/>
      <c r="C72" s="12"/>
      <c r="D72" s="12"/>
      <c r="E72" s="11"/>
      <c r="F72" s="11"/>
      <c r="G72" s="8"/>
      <c r="H72" s="13"/>
    </row>
    <row r="73" customFormat="false" ht="15" hidden="false" customHeight="true" outlineLevel="0" collapsed="false">
      <c r="B73" s="11"/>
      <c r="C73" s="12"/>
      <c r="D73" s="12"/>
      <c r="E73" s="11"/>
      <c r="F73" s="11"/>
      <c r="G73" s="8"/>
      <c r="H73" s="13"/>
    </row>
    <row r="74" customFormat="false" ht="15" hidden="false" customHeight="true" outlineLevel="0" collapsed="false">
      <c r="B74" s="11"/>
      <c r="C74" s="12"/>
      <c r="D74" s="12"/>
      <c r="E74" s="11"/>
      <c r="F74" s="11"/>
      <c r="G74" s="8"/>
      <c r="H74" s="13"/>
    </row>
    <row r="75" customFormat="false" ht="15" hidden="false" customHeight="true" outlineLevel="0" collapsed="false">
      <c r="B75" s="11"/>
      <c r="C75" s="12"/>
      <c r="D75" s="12"/>
      <c r="E75" s="11"/>
      <c r="F75" s="11"/>
      <c r="G75" s="8"/>
      <c r="H75" s="13"/>
    </row>
    <row r="76" customFormat="false" ht="15" hidden="false" customHeight="true" outlineLevel="0" collapsed="false">
      <c r="B76" s="11"/>
      <c r="C76" s="12"/>
      <c r="D76" s="12"/>
      <c r="E76" s="11"/>
      <c r="F76" s="11"/>
      <c r="G76" s="8"/>
      <c r="H76" s="13"/>
    </row>
    <row r="77" customFormat="false" ht="15" hidden="false" customHeight="true" outlineLevel="0" collapsed="false">
      <c r="B77" s="11"/>
      <c r="C77" s="12"/>
      <c r="D77" s="12"/>
      <c r="E77" s="11"/>
      <c r="F77" s="11"/>
      <c r="G77" s="8"/>
      <c r="H77" s="13"/>
    </row>
    <row r="78" customFormat="false" ht="15" hidden="false" customHeight="true" outlineLevel="0" collapsed="false">
      <c r="B78" s="11"/>
      <c r="C78" s="12"/>
      <c r="D78" s="12"/>
      <c r="E78" s="11"/>
      <c r="F78" s="11"/>
      <c r="G78" s="8"/>
      <c r="H78" s="13"/>
    </row>
    <row r="79" customFormat="false" ht="15" hidden="false" customHeight="true" outlineLevel="0" collapsed="false">
      <c r="B79" s="11"/>
      <c r="C79" s="12"/>
      <c r="D79" s="12"/>
      <c r="E79" s="11"/>
      <c r="F79" s="11"/>
      <c r="G79" s="8"/>
      <c r="H79" s="13"/>
    </row>
    <row r="80" customFormat="false" ht="15" hidden="false" customHeight="true" outlineLevel="0" collapsed="false">
      <c r="B80" s="11"/>
      <c r="C80" s="12"/>
      <c r="D80" s="12"/>
      <c r="E80" s="11"/>
      <c r="F80" s="11"/>
      <c r="G80" s="8"/>
      <c r="H80" s="13"/>
    </row>
    <row r="81" customFormat="false" ht="15" hidden="false" customHeight="true" outlineLevel="0" collapsed="false">
      <c r="B81" s="11"/>
      <c r="C81" s="12"/>
      <c r="D81" s="12"/>
      <c r="E81" s="11"/>
      <c r="F81" s="11"/>
      <c r="G81" s="8"/>
      <c r="H81" s="13"/>
    </row>
    <row r="82" customFormat="false" ht="15" hidden="false" customHeight="true" outlineLevel="0" collapsed="false">
      <c r="B82" s="11"/>
      <c r="C82" s="12"/>
      <c r="D82" s="12"/>
      <c r="E82" s="11"/>
      <c r="F82" s="11"/>
      <c r="G82" s="8"/>
      <c r="H82" s="13"/>
    </row>
    <row r="83" customFormat="false" ht="15" hidden="false" customHeight="true" outlineLevel="0" collapsed="false">
      <c r="B83" s="11"/>
      <c r="C83" s="12"/>
      <c r="D83" s="12"/>
      <c r="E83" s="11"/>
      <c r="F83" s="11"/>
      <c r="G83" s="8"/>
      <c r="H83" s="13"/>
    </row>
    <row r="84" customFormat="false" ht="15" hidden="false" customHeight="true" outlineLevel="0" collapsed="false">
      <c r="B84" s="11"/>
      <c r="C84" s="12"/>
      <c r="D84" s="12"/>
      <c r="E84" s="11"/>
      <c r="F84" s="11"/>
      <c r="G84" s="8"/>
      <c r="H84" s="13"/>
    </row>
    <row r="85" customFormat="false" ht="15" hidden="false" customHeight="true" outlineLevel="0" collapsed="false">
      <c r="B85" s="11"/>
      <c r="C85" s="12"/>
      <c r="D85" s="12"/>
      <c r="E85" s="11"/>
      <c r="F85" s="11"/>
      <c r="G85" s="8"/>
      <c r="H85" s="13"/>
    </row>
    <row r="86" customFormat="false" ht="15" hidden="false" customHeight="true" outlineLevel="0" collapsed="false">
      <c r="B86" s="11"/>
      <c r="C86" s="12"/>
      <c r="D86" s="12"/>
      <c r="E86" s="11"/>
      <c r="F86" s="11"/>
      <c r="G86" s="8"/>
      <c r="H86" s="13"/>
    </row>
    <row r="87" customFormat="false" ht="15" hidden="false" customHeight="true" outlineLevel="0" collapsed="false">
      <c r="B87" s="11"/>
      <c r="C87" s="12"/>
      <c r="D87" s="12"/>
      <c r="E87" s="11"/>
      <c r="F87" s="11"/>
      <c r="G87" s="8"/>
      <c r="H87" s="13"/>
    </row>
    <row r="88" customFormat="false" ht="15" hidden="false" customHeight="true" outlineLevel="0" collapsed="false">
      <c r="B88" s="11"/>
      <c r="C88" s="12"/>
      <c r="D88" s="12"/>
      <c r="E88" s="11"/>
      <c r="F88" s="11"/>
      <c r="G88" s="8"/>
      <c r="H88" s="13"/>
    </row>
    <row r="89" customFormat="false" ht="15" hidden="false" customHeight="true" outlineLevel="0" collapsed="false">
      <c r="B89" s="11"/>
      <c r="C89" s="12"/>
      <c r="D89" s="12"/>
      <c r="E89" s="11"/>
      <c r="F89" s="11"/>
      <c r="G89" s="8"/>
      <c r="H89" s="13"/>
    </row>
    <row r="90" customFormat="false" ht="15" hidden="false" customHeight="true" outlineLevel="0" collapsed="false">
      <c r="B90" s="11"/>
      <c r="C90" s="12"/>
      <c r="D90" s="12"/>
      <c r="E90" s="11"/>
      <c r="F90" s="11"/>
      <c r="G90" s="8"/>
      <c r="H90" s="13"/>
    </row>
    <row r="91" customFormat="false" ht="15" hidden="false" customHeight="true" outlineLevel="0" collapsed="false">
      <c r="B91" s="11"/>
      <c r="C91" s="12"/>
      <c r="D91" s="12"/>
      <c r="E91" s="11"/>
      <c r="F91" s="11"/>
      <c r="G91" s="8"/>
      <c r="H91" s="13"/>
    </row>
    <row r="92" customFormat="false" ht="15" hidden="false" customHeight="true" outlineLevel="0" collapsed="false">
      <c r="B92" s="11"/>
      <c r="C92" s="12"/>
      <c r="D92" s="12"/>
      <c r="E92" s="11"/>
      <c r="F92" s="11"/>
      <c r="G92" s="8"/>
      <c r="H92" s="13"/>
    </row>
    <row r="93" customFormat="false" ht="15" hidden="false" customHeight="true" outlineLevel="0" collapsed="false">
      <c r="B93" s="11"/>
      <c r="C93" s="12"/>
      <c r="D93" s="12"/>
      <c r="E93" s="11"/>
      <c r="F93" s="11"/>
      <c r="G93" s="8"/>
      <c r="H93" s="13"/>
    </row>
    <row r="94" customFormat="false" ht="15" hidden="false" customHeight="true" outlineLevel="0" collapsed="false">
      <c r="B94" s="11"/>
      <c r="C94" s="12"/>
      <c r="D94" s="12"/>
      <c r="E94" s="11"/>
      <c r="F94" s="11"/>
      <c r="G94" s="8"/>
      <c r="H94" s="13"/>
    </row>
    <row r="95" customFormat="false" ht="15" hidden="false" customHeight="true" outlineLevel="0" collapsed="false">
      <c r="B95" s="11"/>
      <c r="C95" s="12"/>
      <c r="D95" s="12"/>
      <c r="E95" s="11"/>
      <c r="F95" s="11"/>
      <c r="G95" s="8"/>
      <c r="H95" s="13"/>
    </row>
    <row r="96" customFormat="false" ht="15" hidden="false" customHeight="true" outlineLevel="0" collapsed="false">
      <c r="B96" s="11"/>
      <c r="C96" s="12"/>
      <c r="D96" s="12"/>
      <c r="E96" s="11"/>
      <c r="F96" s="11"/>
      <c r="G96" s="8"/>
      <c r="H96" s="13"/>
    </row>
    <row r="97" customFormat="false" ht="15" hidden="false" customHeight="true" outlineLevel="0" collapsed="false">
      <c r="B97" s="11"/>
      <c r="C97" s="12"/>
      <c r="D97" s="12"/>
      <c r="E97" s="11"/>
      <c r="F97" s="11"/>
      <c r="G97" s="8"/>
      <c r="H97" s="13"/>
    </row>
    <row r="98" customFormat="false" ht="15" hidden="false" customHeight="true" outlineLevel="0" collapsed="false">
      <c r="B98" s="11"/>
      <c r="C98" s="12"/>
      <c r="D98" s="12"/>
      <c r="E98" s="11"/>
      <c r="F98" s="11"/>
      <c r="G98" s="8"/>
      <c r="H98" s="13"/>
    </row>
    <row r="99" customFormat="false" ht="15" hidden="false" customHeight="true" outlineLevel="0" collapsed="false">
      <c r="B99" s="11"/>
      <c r="C99" s="12"/>
      <c r="D99" s="12"/>
      <c r="E99" s="11"/>
      <c r="F99" s="11"/>
      <c r="G99" s="8"/>
      <c r="H99" s="13"/>
    </row>
    <row r="100" customFormat="false" ht="15" hidden="false" customHeight="true" outlineLevel="0" collapsed="false">
      <c r="B100" s="11"/>
      <c r="C100" s="12"/>
      <c r="D100" s="12"/>
      <c r="E100" s="11"/>
      <c r="F100" s="11"/>
      <c r="G100" s="8"/>
      <c r="H100" s="13"/>
    </row>
    <row r="101" customFormat="false" ht="15" hidden="false" customHeight="true" outlineLevel="0" collapsed="false">
      <c r="B101" s="11"/>
      <c r="C101" s="12"/>
      <c r="D101" s="12"/>
      <c r="E101" s="11"/>
      <c r="F101" s="11"/>
      <c r="G101" s="8"/>
      <c r="H101" s="13"/>
    </row>
    <row r="102" customFormat="false" ht="15" hidden="false" customHeight="true" outlineLevel="0" collapsed="false">
      <c r="B102" s="11"/>
      <c r="C102" s="12"/>
      <c r="D102" s="12"/>
      <c r="E102" s="11"/>
      <c r="F102" s="11"/>
      <c r="G102" s="8"/>
      <c r="H102" s="13"/>
    </row>
    <row r="103" customFormat="false" ht="15" hidden="false" customHeight="true" outlineLevel="0" collapsed="false">
      <c r="B103" s="11"/>
      <c r="C103" s="12"/>
      <c r="D103" s="12"/>
      <c r="E103" s="11"/>
      <c r="F103" s="11"/>
      <c r="G103" s="8"/>
      <c r="H103" s="13"/>
    </row>
    <row r="104" customFormat="false" ht="15" hidden="false" customHeight="true" outlineLevel="0" collapsed="false">
      <c r="B104" s="11"/>
      <c r="C104" s="12"/>
      <c r="D104" s="12"/>
      <c r="E104" s="11"/>
      <c r="F104" s="11"/>
      <c r="G104" s="8"/>
      <c r="H104" s="13"/>
    </row>
    <row r="105" customFormat="false" ht="15" hidden="false" customHeight="true" outlineLevel="0" collapsed="false">
      <c r="B105" s="11"/>
      <c r="C105" s="12"/>
      <c r="D105" s="12"/>
      <c r="E105" s="11"/>
      <c r="F105" s="11"/>
      <c r="G105" s="8"/>
      <c r="H105" s="13"/>
    </row>
    <row r="106" customFormat="false" ht="15" hidden="false" customHeight="true" outlineLevel="0" collapsed="false">
      <c r="B106" s="11"/>
      <c r="C106" s="12"/>
      <c r="D106" s="12"/>
      <c r="E106" s="11"/>
      <c r="F106" s="11"/>
      <c r="G106" s="8"/>
      <c r="H106" s="13"/>
    </row>
    <row r="107" customFormat="false" ht="15" hidden="false" customHeight="true" outlineLevel="0" collapsed="false">
      <c r="B107" s="11"/>
      <c r="C107" s="12"/>
      <c r="D107" s="12"/>
      <c r="E107" s="11"/>
      <c r="F107" s="11"/>
      <c r="G107" s="8"/>
      <c r="H107" s="13"/>
    </row>
    <row r="108" customFormat="false" ht="15" hidden="false" customHeight="true" outlineLevel="0" collapsed="false">
      <c r="B108" s="11"/>
      <c r="C108" s="12"/>
      <c r="D108" s="12"/>
      <c r="E108" s="11"/>
      <c r="F108" s="11"/>
      <c r="G108" s="8"/>
      <c r="H108" s="13"/>
    </row>
    <row r="109" customFormat="false" ht="15" hidden="false" customHeight="true" outlineLevel="0" collapsed="false">
      <c r="B109" s="11"/>
      <c r="C109" s="12"/>
      <c r="D109" s="12"/>
      <c r="E109" s="11"/>
      <c r="F109" s="11"/>
      <c r="G109" s="8"/>
      <c r="H109" s="13"/>
    </row>
    <row r="110" customFormat="false" ht="15" hidden="false" customHeight="true" outlineLevel="0" collapsed="false">
      <c r="B110" s="11"/>
      <c r="C110" s="12"/>
      <c r="D110" s="12"/>
      <c r="E110" s="11"/>
      <c r="F110" s="11"/>
      <c r="G110" s="8"/>
      <c r="H110" s="13"/>
    </row>
    <row r="111" customFormat="false" ht="15" hidden="false" customHeight="true" outlineLevel="0" collapsed="false">
      <c r="B111" s="11"/>
      <c r="C111" s="12"/>
      <c r="D111" s="12"/>
      <c r="E111" s="11"/>
      <c r="F111" s="11"/>
      <c r="G111" s="8"/>
      <c r="H111" s="13"/>
    </row>
    <row r="112" customFormat="false" ht="15" hidden="false" customHeight="true" outlineLevel="0" collapsed="false">
      <c r="B112" s="11"/>
      <c r="C112" s="12"/>
      <c r="D112" s="12"/>
      <c r="E112" s="11"/>
      <c r="F112" s="11"/>
      <c r="G112" s="8"/>
      <c r="H112" s="13"/>
    </row>
    <row r="113" customFormat="false" ht="15" hidden="false" customHeight="true" outlineLevel="0" collapsed="false">
      <c r="B113" s="11"/>
      <c r="C113" s="12"/>
      <c r="D113" s="12"/>
      <c r="E113" s="11"/>
      <c r="F113" s="11"/>
      <c r="G113" s="8"/>
      <c r="H113" s="13"/>
    </row>
    <row r="114" customFormat="false" ht="15" hidden="false" customHeight="true" outlineLevel="0" collapsed="false">
      <c r="B114" s="11"/>
      <c r="C114" s="12"/>
      <c r="D114" s="12"/>
      <c r="E114" s="11"/>
      <c r="F114" s="11"/>
      <c r="G114" s="8"/>
      <c r="H114" s="13"/>
    </row>
    <row r="115" customFormat="false" ht="15" hidden="false" customHeight="true" outlineLevel="0" collapsed="false">
      <c r="B115" s="11"/>
      <c r="C115" s="12"/>
      <c r="D115" s="12"/>
      <c r="E115" s="11"/>
      <c r="F115" s="11"/>
      <c r="G115" s="8"/>
      <c r="H115" s="13"/>
    </row>
    <row r="116" customFormat="false" ht="15" hidden="false" customHeight="true" outlineLevel="0" collapsed="false">
      <c r="B116" s="11"/>
      <c r="C116" s="12"/>
      <c r="D116" s="12"/>
      <c r="E116" s="11"/>
      <c r="F116" s="11"/>
      <c r="G116" s="8"/>
      <c r="H116" s="13"/>
    </row>
    <row r="117" customFormat="false" ht="15" hidden="false" customHeight="true" outlineLevel="0" collapsed="false">
      <c r="B117" s="11"/>
      <c r="C117" s="12"/>
      <c r="D117" s="12"/>
      <c r="E117" s="11"/>
      <c r="F117" s="11"/>
      <c r="G117" s="8"/>
      <c r="H117" s="13"/>
    </row>
    <row r="118" customFormat="false" ht="15" hidden="false" customHeight="true" outlineLevel="0" collapsed="false">
      <c r="B118" s="11"/>
      <c r="C118" s="12"/>
      <c r="D118" s="12"/>
      <c r="E118" s="11"/>
      <c r="F118" s="11"/>
      <c r="G118" s="8"/>
      <c r="H118" s="13"/>
    </row>
    <row r="119" customFormat="false" ht="15" hidden="false" customHeight="true" outlineLevel="0" collapsed="false">
      <c r="B119" s="11"/>
      <c r="C119" s="12"/>
      <c r="D119" s="12"/>
      <c r="E119" s="11"/>
      <c r="F119" s="11"/>
      <c r="G119" s="8"/>
      <c r="H119" s="13"/>
    </row>
    <row r="120" customFormat="false" ht="15" hidden="false" customHeight="true" outlineLevel="0" collapsed="false">
      <c r="B120" s="11"/>
      <c r="C120" s="12"/>
      <c r="D120" s="12"/>
      <c r="E120" s="11"/>
      <c r="F120" s="11"/>
      <c r="G120" s="8"/>
      <c r="H120" s="13"/>
    </row>
    <row r="121" customFormat="false" ht="15" hidden="false" customHeight="true" outlineLevel="0" collapsed="false">
      <c r="B121" s="11"/>
      <c r="C121" s="12"/>
      <c r="D121" s="12"/>
      <c r="E121" s="11"/>
      <c r="F121" s="11"/>
      <c r="G121" s="8"/>
      <c r="H121" s="13"/>
    </row>
    <row r="122" customFormat="false" ht="15" hidden="false" customHeight="true" outlineLevel="0" collapsed="false">
      <c r="B122" s="11"/>
      <c r="C122" s="12"/>
      <c r="D122" s="12"/>
      <c r="E122" s="11"/>
      <c r="F122" s="11"/>
      <c r="G122" s="8"/>
      <c r="H122" s="13"/>
    </row>
    <row r="123" customFormat="false" ht="15" hidden="false" customHeight="true" outlineLevel="0" collapsed="false">
      <c r="B123" s="11"/>
      <c r="C123" s="12"/>
      <c r="D123" s="12"/>
      <c r="E123" s="11"/>
      <c r="F123" s="11"/>
      <c r="G123" s="8"/>
      <c r="H123" s="13"/>
    </row>
    <row r="124" customFormat="false" ht="15" hidden="false" customHeight="true" outlineLevel="0" collapsed="false">
      <c r="B124" s="11"/>
      <c r="C124" s="12"/>
      <c r="D124" s="12"/>
      <c r="E124" s="11"/>
      <c r="F124" s="11"/>
      <c r="G124" s="8"/>
      <c r="H124" s="13"/>
    </row>
    <row r="125" customFormat="false" ht="15" hidden="false" customHeight="true" outlineLevel="0" collapsed="false">
      <c r="B125" s="11"/>
      <c r="C125" s="12"/>
      <c r="D125" s="12"/>
      <c r="E125" s="11"/>
      <c r="F125" s="11"/>
      <c r="G125" s="8"/>
      <c r="H125" s="13"/>
    </row>
    <row r="126" customFormat="false" ht="15" hidden="false" customHeight="true" outlineLevel="0" collapsed="false">
      <c r="B126" s="11"/>
      <c r="C126" s="12"/>
      <c r="D126" s="12"/>
      <c r="E126" s="11"/>
      <c r="F126" s="11"/>
      <c r="G126" s="8"/>
      <c r="H126" s="13"/>
    </row>
    <row r="127" customFormat="false" ht="15" hidden="false" customHeight="true" outlineLevel="0" collapsed="false">
      <c r="B127" s="11"/>
      <c r="C127" s="12"/>
      <c r="D127" s="12"/>
      <c r="E127" s="11"/>
      <c r="F127" s="11"/>
      <c r="G127" s="8"/>
      <c r="H127" s="13"/>
    </row>
    <row r="128" customFormat="false" ht="15" hidden="false" customHeight="true" outlineLevel="0" collapsed="false">
      <c r="B128" s="11"/>
      <c r="C128" s="12"/>
      <c r="D128" s="12"/>
      <c r="E128" s="11"/>
      <c r="F128" s="11"/>
      <c r="G128" s="8"/>
      <c r="H128" s="13"/>
    </row>
    <row r="129" customFormat="false" ht="15" hidden="false" customHeight="true" outlineLevel="0" collapsed="false">
      <c r="B129" s="11"/>
      <c r="C129" s="12"/>
      <c r="D129" s="12"/>
      <c r="E129" s="11"/>
      <c r="F129" s="11"/>
      <c r="G129" s="8"/>
      <c r="H129" s="13"/>
    </row>
    <row r="130" customFormat="false" ht="15" hidden="false" customHeight="true" outlineLevel="0" collapsed="false">
      <c r="B130" s="11"/>
      <c r="C130" s="12"/>
      <c r="D130" s="12"/>
      <c r="E130" s="11"/>
      <c r="F130" s="11"/>
      <c r="G130" s="8"/>
      <c r="H130" s="13"/>
    </row>
    <row r="131" customFormat="false" ht="15" hidden="false" customHeight="true" outlineLevel="0" collapsed="false">
      <c r="B131" s="11"/>
      <c r="C131" s="12"/>
      <c r="D131" s="12"/>
      <c r="E131" s="11"/>
      <c r="F131" s="11"/>
      <c r="G131" s="8"/>
      <c r="H131" s="13"/>
    </row>
    <row r="132" customFormat="false" ht="15" hidden="false" customHeight="true" outlineLevel="0" collapsed="false">
      <c r="B132" s="11"/>
      <c r="C132" s="12"/>
      <c r="D132" s="12"/>
      <c r="E132" s="11"/>
      <c r="F132" s="11"/>
      <c r="G132" s="8"/>
      <c r="H132" s="13"/>
    </row>
    <row r="133" customFormat="false" ht="15" hidden="false" customHeight="true" outlineLevel="0" collapsed="false">
      <c r="B133" s="11"/>
      <c r="C133" s="12"/>
      <c r="D133" s="12"/>
      <c r="E133" s="11"/>
      <c r="F133" s="11"/>
      <c r="G133" s="8"/>
      <c r="H133" s="13"/>
    </row>
    <row r="134" customFormat="false" ht="15" hidden="false" customHeight="true" outlineLevel="0" collapsed="false">
      <c r="B134" s="11"/>
      <c r="C134" s="12"/>
      <c r="D134" s="12"/>
      <c r="E134" s="11"/>
      <c r="F134" s="11"/>
      <c r="G134" s="8"/>
      <c r="H134" s="13"/>
    </row>
    <row r="135" customFormat="false" ht="15" hidden="false" customHeight="true" outlineLevel="0" collapsed="false">
      <c r="B135" s="11"/>
      <c r="C135" s="12"/>
      <c r="D135" s="12"/>
      <c r="E135" s="11"/>
      <c r="F135" s="11"/>
      <c r="G135" s="8"/>
      <c r="H135" s="13"/>
    </row>
    <row r="136" customFormat="false" ht="15" hidden="false" customHeight="true" outlineLevel="0" collapsed="false">
      <c r="B136" s="11"/>
      <c r="C136" s="12"/>
      <c r="D136" s="12"/>
      <c r="E136" s="11"/>
      <c r="F136" s="11"/>
      <c r="G136" s="8"/>
      <c r="H136" s="13"/>
    </row>
    <row r="137" customFormat="false" ht="15" hidden="false" customHeight="true" outlineLevel="0" collapsed="false">
      <c r="B137" s="11"/>
      <c r="C137" s="12"/>
      <c r="D137" s="12"/>
      <c r="E137" s="11"/>
      <c r="F137" s="11"/>
      <c r="G137" s="8"/>
      <c r="H137" s="13"/>
    </row>
    <row r="138" customFormat="false" ht="15" hidden="false" customHeight="true" outlineLevel="0" collapsed="false">
      <c r="B138" s="11"/>
      <c r="C138" s="12"/>
      <c r="D138" s="12"/>
      <c r="E138" s="11"/>
      <c r="F138" s="11"/>
      <c r="G138" s="8"/>
      <c r="H138" s="13"/>
    </row>
    <row r="139" customFormat="false" ht="15" hidden="false" customHeight="true" outlineLevel="0" collapsed="false">
      <c r="B139" s="11"/>
      <c r="C139" s="12"/>
      <c r="D139" s="12"/>
      <c r="E139" s="11"/>
      <c r="F139" s="11"/>
      <c r="G139" s="8"/>
      <c r="H139" s="13"/>
    </row>
    <row r="140" customFormat="false" ht="15" hidden="false" customHeight="true" outlineLevel="0" collapsed="false">
      <c r="B140" s="11"/>
      <c r="C140" s="12"/>
      <c r="D140" s="12"/>
      <c r="E140" s="11"/>
      <c r="F140" s="11"/>
      <c r="G140" s="8"/>
      <c r="H140" s="13"/>
    </row>
    <row r="141" customFormat="false" ht="15" hidden="false" customHeight="true" outlineLevel="0" collapsed="false">
      <c r="B141" s="11"/>
      <c r="C141" s="12"/>
      <c r="D141" s="12"/>
      <c r="E141" s="11"/>
      <c r="F141" s="11"/>
      <c r="G141" s="8"/>
      <c r="H141" s="13"/>
    </row>
    <row r="142" customFormat="false" ht="15" hidden="false" customHeight="true" outlineLevel="0" collapsed="false">
      <c r="B142" s="11"/>
      <c r="C142" s="12"/>
      <c r="D142" s="12"/>
      <c r="E142" s="11"/>
      <c r="F142" s="11"/>
      <c r="G142" s="8"/>
      <c r="H142" s="13"/>
    </row>
    <row r="143" customFormat="false" ht="15" hidden="false" customHeight="true" outlineLevel="0" collapsed="false">
      <c r="B143" s="11"/>
      <c r="C143" s="12"/>
      <c r="D143" s="12"/>
      <c r="E143" s="11"/>
      <c r="F143" s="11"/>
      <c r="G143" s="8"/>
      <c r="H143" s="13"/>
    </row>
    <row r="144" customFormat="false" ht="15" hidden="false" customHeight="true" outlineLevel="0" collapsed="false">
      <c r="B144" s="11"/>
      <c r="C144" s="12"/>
      <c r="D144" s="12"/>
      <c r="E144" s="11"/>
      <c r="F144" s="11"/>
      <c r="G144" s="8"/>
      <c r="H144" s="13"/>
    </row>
    <row r="145" customFormat="false" ht="15" hidden="false" customHeight="true" outlineLevel="0" collapsed="false">
      <c r="B145" s="11"/>
      <c r="C145" s="12"/>
      <c r="D145" s="12"/>
      <c r="E145" s="11"/>
      <c r="F145" s="11"/>
      <c r="G145" s="8"/>
      <c r="H145" s="13"/>
    </row>
    <row r="146" customFormat="false" ht="15" hidden="false" customHeight="true" outlineLevel="0" collapsed="false">
      <c r="B146" s="11"/>
      <c r="C146" s="12"/>
      <c r="D146" s="12"/>
      <c r="E146" s="11"/>
      <c r="F146" s="11"/>
      <c r="G146" s="8"/>
      <c r="H146" s="13"/>
    </row>
    <row r="147" customFormat="false" ht="15" hidden="false" customHeight="true" outlineLevel="0" collapsed="false">
      <c r="B147" s="11"/>
      <c r="C147" s="12"/>
      <c r="D147" s="12"/>
      <c r="E147" s="11"/>
      <c r="F147" s="11"/>
      <c r="G147" s="8"/>
      <c r="H147" s="13"/>
    </row>
    <row r="148" customFormat="false" ht="15" hidden="false" customHeight="true" outlineLevel="0" collapsed="false">
      <c r="B148" s="11"/>
      <c r="C148" s="12"/>
      <c r="D148" s="12"/>
      <c r="E148" s="11"/>
      <c r="F148" s="11"/>
      <c r="G148" s="8"/>
      <c r="H148" s="13"/>
    </row>
    <row r="149" customFormat="false" ht="15" hidden="false" customHeight="true" outlineLevel="0" collapsed="false">
      <c r="B149" s="11"/>
      <c r="C149" s="12"/>
      <c r="D149" s="12"/>
      <c r="E149" s="11"/>
      <c r="F149" s="11"/>
      <c r="G149" s="8"/>
      <c r="H149" s="13"/>
    </row>
    <row r="150" customFormat="false" ht="15" hidden="false" customHeight="true" outlineLevel="0" collapsed="false">
      <c r="B150" s="11"/>
      <c r="C150" s="12"/>
      <c r="D150" s="12"/>
      <c r="E150" s="11"/>
      <c r="F150" s="11"/>
      <c r="G150" s="8"/>
      <c r="H150" s="13"/>
    </row>
    <row r="151" customFormat="false" ht="15" hidden="false" customHeight="true" outlineLevel="0" collapsed="false">
      <c r="B151" s="11"/>
      <c r="C151" s="12"/>
      <c r="D151" s="12"/>
      <c r="E151" s="11"/>
      <c r="F151" s="11"/>
      <c r="G151" s="8"/>
      <c r="H151" s="13"/>
    </row>
    <row r="152" customFormat="false" ht="15" hidden="false" customHeight="true" outlineLevel="0" collapsed="false">
      <c r="B152" s="11"/>
      <c r="C152" s="12"/>
      <c r="D152" s="12"/>
      <c r="E152" s="11"/>
      <c r="F152" s="11"/>
      <c r="G152" s="8"/>
      <c r="H152" s="13"/>
    </row>
    <row r="153" customFormat="false" ht="15" hidden="false" customHeight="true" outlineLevel="0" collapsed="false">
      <c r="B153" s="11"/>
      <c r="C153" s="12"/>
      <c r="D153" s="12"/>
      <c r="E153" s="11"/>
      <c r="F153" s="11"/>
      <c r="G153" s="8"/>
      <c r="H153" s="13"/>
    </row>
    <row r="154" customFormat="false" ht="15" hidden="false" customHeight="true" outlineLevel="0" collapsed="false">
      <c r="B154" s="11"/>
      <c r="C154" s="12"/>
      <c r="D154" s="12"/>
      <c r="E154" s="11"/>
      <c r="F154" s="11"/>
      <c r="G154" s="8"/>
      <c r="H154" s="13"/>
    </row>
    <row r="155" customFormat="false" ht="15" hidden="false" customHeight="true" outlineLevel="0" collapsed="false">
      <c r="B155" s="11"/>
      <c r="C155" s="12"/>
      <c r="D155" s="12"/>
      <c r="E155" s="11"/>
      <c r="F155" s="11"/>
      <c r="G155" s="8"/>
      <c r="H155" s="13"/>
    </row>
    <row r="156" customFormat="false" ht="15" hidden="false" customHeight="true" outlineLevel="0" collapsed="false">
      <c r="B156" s="11"/>
      <c r="C156" s="12"/>
      <c r="D156" s="12"/>
      <c r="E156" s="11"/>
      <c r="F156" s="11"/>
      <c r="G156" s="8"/>
      <c r="H156" s="13"/>
    </row>
    <row r="157" customFormat="false" ht="15" hidden="false" customHeight="true" outlineLevel="0" collapsed="false">
      <c r="B157" s="11"/>
      <c r="C157" s="12"/>
      <c r="D157" s="12"/>
      <c r="E157" s="11"/>
      <c r="F157" s="11"/>
      <c r="G157" s="8"/>
      <c r="H157" s="13"/>
    </row>
    <row r="158" customFormat="false" ht="15" hidden="false" customHeight="true" outlineLevel="0" collapsed="false">
      <c r="B158" s="11"/>
      <c r="C158" s="12"/>
      <c r="D158" s="12"/>
      <c r="E158" s="11"/>
      <c r="F158" s="11"/>
      <c r="G158" s="8"/>
      <c r="H158" s="13"/>
    </row>
    <row r="159" customFormat="false" ht="15" hidden="false" customHeight="true" outlineLevel="0" collapsed="false">
      <c r="B159" s="11"/>
      <c r="C159" s="12"/>
      <c r="D159" s="12"/>
      <c r="E159" s="11"/>
      <c r="F159" s="11"/>
      <c r="G159" s="8"/>
      <c r="H159" s="13"/>
    </row>
    <row r="160" customFormat="false" ht="15" hidden="false" customHeight="true" outlineLevel="0" collapsed="false">
      <c r="B160" s="11"/>
      <c r="C160" s="12"/>
      <c r="D160" s="12"/>
      <c r="E160" s="11"/>
      <c r="F160" s="11"/>
      <c r="G160" s="8"/>
      <c r="H160" s="13"/>
    </row>
    <row r="161" customFormat="false" ht="15" hidden="false" customHeight="true" outlineLevel="0" collapsed="false">
      <c r="B161" s="11"/>
      <c r="C161" s="12"/>
      <c r="D161" s="12"/>
      <c r="E161" s="11"/>
      <c r="F161" s="11"/>
      <c r="G161" s="8"/>
      <c r="H161" s="13"/>
    </row>
    <row r="162" customFormat="false" ht="15" hidden="false" customHeight="true" outlineLevel="0" collapsed="false">
      <c r="B162" s="11"/>
      <c r="C162" s="12"/>
      <c r="D162" s="12"/>
      <c r="E162" s="11"/>
      <c r="F162" s="11"/>
      <c r="G162" s="8"/>
      <c r="H162" s="13"/>
    </row>
    <row r="163" customFormat="false" ht="15" hidden="false" customHeight="true" outlineLevel="0" collapsed="false">
      <c r="B163" s="11"/>
      <c r="C163" s="12"/>
      <c r="D163" s="12"/>
      <c r="E163" s="11"/>
      <c r="F163" s="11"/>
      <c r="G163" s="8"/>
      <c r="H163" s="13"/>
    </row>
    <row r="164" customFormat="false" ht="15" hidden="false" customHeight="true" outlineLevel="0" collapsed="false">
      <c r="B164" s="11"/>
      <c r="C164" s="12"/>
      <c r="D164" s="12"/>
      <c r="E164" s="11"/>
      <c r="F164" s="11"/>
      <c r="G164" s="8"/>
      <c r="H164" s="13"/>
    </row>
    <row r="165" customFormat="false" ht="15" hidden="false" customHeight="true" outlineLevel="0" collapsed="false">
      <c r="B165" s="11"/>
      <c r="C165" s="12"/>
      <c r="D165" s="12"/>
      <c r="E165" s="11"/>
      <c r="F165" s="11"/>
      <c r="G165" s="8"/>
      <c r="H165" s="13"/>
    </row>
    <row r="166" customFormat="false" ht="15" hidden="false" customHeight="true" outlineLevel="0" collapsed="false">
      <c r="B166" s="11"/>
      <c r="C166" s="12"/>
      <c r="D166" s="12"/>
      <c r="E166" s="11"/>
      <c r="F166" s="11"/>
      <c r="G166" s="8"/>
      <c r="H166" s="13"/>
    </row>
    <row r="167" customFormat="false" ht="15" hidden="false" customHeight="true" outlineLevel="0" collapsed="false">
      <c r="B167" s="11"/>
      <c r="C167" s="12"/>
      <c r="D167" s="12"/>
      <c r="E167" s="11"/>
      <c r="F167" s="11"/>
      <c r="G167" s="8"/>
      <c r="H167" s="13"/>
    </row>
    <row r="168" customFormat="false" ht="15" hidden="false" customHeight="true" outlineLevel="0" collapsed="false">
      <c r="B168" s="11"/>
      <c r="C168" s="12"/>
      <c r="D168" s="12"/>
      <c r="E168" s="11"/>
      <c r="F168" s="11"/>
      <c r="G168" s="8"/>
      <c r="H168" s="13"/>
    </row>
    <row r="169" customFormat="false" ht="15" hidden="false" customHeight="true" outlineLevel="0" collapsed="false">
      <c r="B169" s="11"/>
      <c r="C169" s="12"/>
      <c r="D169" s="12"/>
      <c r="E169" s="11"/>
      <c r="F169" s="11"/>
      <c r="G169" s="8"/>
      <c r="H169" s="13"/>
    </row>
    <row r="170" customFormat="false" ht="15" hidden="false" customHeight="true" outlineLevel="0" collapsed="false">
      <c r="B170" s="11"/>
      <c r="C170" s="12"/>
      <c r="D170" s="12"/>
      <c r="E170" s="11"/>
      <c r="F170" s="11"/>
      <c r="G170" s="8"/>
      <c r="H170" s="13"/>
    </row>
    <row r="171" customFormat="false" ht="15" hidden="false" customHeight="true" outlineLevel="0" collapsed="false">
      <c r="B171" s="11"/>
      <c r="C171" s="12"/>
      <c r="D171" s="12"/>
      <c r="E171" s="11"/>
      <c r="F171" s="11"/>
      <c r="G171" s="8"/>
      <c r="H171" s="13"/>
    </row>
    <row r="172" customFormat="false" ht="15" hidden="false" customHeight="true" outlineLevel="0" collapsed="false">
      <c r="B172" s="11"/>
      <c r="C172" s="12"/>
      <c r="D172" s="12"/>
      <c r="E172" s="11"/>
      <c r="F172" s="11"/>
      <c r="G172" s="8"/>
      <c r="H172" s="13"/>
    </row>
    <row r="173" customFormat="false" ht="15" hidden="false" customHeight="true" outlineLevel="0" collapsed="false">
      <c r="B173" s="11"/>
      <c r="C173" s="12"/>
      <c r="D173" s="12"/>
      <c r="E173" s="11"/>
      <c r="F173" s="11"/>
      <c r="G173" s="8"/>
      <c r="H173" s="13"/>
    </row>
    <row r="174" customFormat="false" ht="15" hidden="false" customHeight="true" outlineLevel="0" collapsed="false">
      <c r="B174" s="11"/>
      <c r="C174" s="12"/>
      <c r="D174" s="12"/>
      <c r="E174" s="11"/>
      <c r="F174" s="11"/>
      <c r="G174" s="8"/>
      <c r="H174" s="13"/>
    </row>
    <row r="175" customFormat="false" ht="15" hidden="false" customHeight="true" outlineLevel="0" collapsed="false">
      <c r="B175" s="11"/>
      <c r="C175" s="12"/>
      <c r="D175" s="12"/>
      <c r="E175" s="11"/>
      <c r="F175" s="11"/>
      <c r="G175" s="8"/>
      <c r="H175" s="13"/>
    </row>
    <row r="176" customFormat="false" ht="15" hidden="false" customHeight="true" outlineLevel="0" collapsed="false">
      <c r="B176" s="11"/>
      <c r="C176" s="12"/>
      <c r="D176" s="12"/>
      <c r="E176" s="11"/>
      <c r="F176" s="11"/>
      <c r="G176" s="8"/>
      <c r="H176" s="13"/>
    </row>
    <row r="177" customFormat="false" ht="15" hidden="false" customHeight="true" outlineLevel="0" collapsed="false">
      <c r="B177" s="11"/>
      <c r="C177" s="12"/>
      <c r="D177" s="12"/>
      <c r="E177" s="11"/>
      <c r="F177" s="11"/>
      <c r="G177" s="8"/>
      <c r="H177" s="13"/>
    </row>
    <row r="178" customFormat="false" ht="15" hidden="false" customHeight="true" outlineLevel="0" collapsed="false">
      <c r="B178" s="11"/>
      <c r="C178" s="12"/>
      <c r="D178" s="12"/>
      <c r="E178" s="11"/>
      <c r="F178" s="11"/>
      <c r="G178" s="8"/>
      <c r="H178" s="13"/>
    </row>
    <row r="179" customFormat="false" ht="15" hidden="false" customHeight="true" outlineLevel="0" collapsed="false">
      <c r="B179" s="11"/>
      <c r="C179" s="12"/>
      <c r="D179" s="12"/>
      <c r="E179" s="11"/>
      <c r="F179" s="11"/>
      <c r="G179" s="8"/>
      <c r="H179" s="13"/>
    </row>
    <row r="180" customFormat="false" ht="15" hidden="false" customHeight="true" outlineLevel="0" collapsed="false">
      <c r="B180" s="11"/>
      <c r="C180" s="12"/>
      <c r="D180" s="12"/>
      <c r="E180" s="11"/>
      <c r="F180" s="11"/>
      <c r="G180" s="8"/>
      <c r="H180" s="13"/>
    </row>
    <row r="181" customFormat="false" ht="15" hidden="false" customHeight="true" outlineLevel="0" collapsed="false">
      <c r="B181" s="11"/>
      <c r="C181" s="12"/>
      <c r="D181" s="12"/>
      <c r="E181" s="11"/>
      <c r="F181" s="11"/>
      <c r="G181" s="8"/>
      <c r="H181" s="13"/>
    </row>
    <row r="182" customFormat="false" ht="15" hidden="false" customHeight="true" outlineLevel="0" collapsed="false">
      <c r="B182" s="11"/>
      <c r="C182" s="12"/>
      <c r="D182" s="12"/>
      <c r="E182" s="11"/>
      <c r="F182" s="11"/>
      <c r="G182" s="8"/>
      <c r="H182" s="13"/>
    </row>
    <row r="183" customFormat="false" ht="15" hidden="false" customHeight="true" outlineLevel="0" collapsed="false">
      <c r="B183" s="11"/>
      <c r="C183" s="12"/>
      <c r="D183" s="12"/>
      <c r="E183" s="11"/>
      <c r="F183" s="11"/>
      <c r="G183" s="8"/>
      <c r="H183" s="13"/>
    </row>
    <row r="184" customFormat="false" ht="15" hidden="false" customHeight="true" outlineLevel="0" collapsed="false">
      <c r="B184" s="11"/>
      <c r="C184" s="12"/>
      <c r="D184" s="12"/>
      <c r="E184" s="11"/>
      <c r="F184" s="11"/>
      <c r="G184" s="8"/>
      <c r="H184" s="13"/>
    </row>
    <row r="185" customFormat="false" ht="15" hidden="false" customHeight="true" outlineLevel="0" collapsed="false">
      <c r="B185" s="11"/>
      <c r="C185" s="12"/>
      <c r="D185" s="12"/>
      <c r="E185" s="11"/>
      <c r="F185" s="11"/>
      <c r="G185" s="8"/>
      <c r="H185" s="13"/>
    </row>
    <row r="186" customFormat="false" ht="15" hidden="false" customHeight="true" outlineLevel="0" collapsed="false">
      <c r="B186" s="11"/>
      <c r="C186" s="12"/>
      <c r="D186" s="12"/>
      <c r="E186" s="11"/>
      <c r="F186" s="11"/>
      <c r="G186" s="8"/>
      <c r="H186" s="13"/>
    </row>
    <row r="187" customFormat="false" ht="15" hidden="false" customHeight="true" outlineLevel="0" collapsed="false">
      <c r="B187" s="11"/>
      <c r="C187" s="12"/>
      <c r="D187" s="12"/>
      <c r="E187" s="11"/>
      <c r="F187" s="11"/>
      <c r="G187" s="8"/>
      <c r="H187" s="13"/>
    </row>
    <row r="188" customFormat="false" ht="15" hidden="false" customHeight="true" outlineLevel="0" collapsed="false">
      <c r="B188" s="11"/>
      <c r="C188" s="12"/>
      <c r="D188" s="12"/>
      <c r="E188" s="11"/>
      <c r="F188" s="11"/>
      <c r="G188" s="8"/>
      <c r="H188" s="13"/>
    </row>
    <row r="189" customFormat="false" ht="15" hidden="false" customHeight="true" outlineLevel="0" collapsed="false">
      <c r="B189" s="11"/>
      <c r="C189" s="12"/>
      <c r="D189" s="12"/>
      <c r="E189" s="11"/>
      <c r="F189" s="11"/>
      <c r="G189" s="8"/>
      <c r="H189" s="13"/>
    </row>
    <row r="190" customFormat="false" ht="15" hidden="false" customHeight="true" outlineLevel="0" collapsed="false">
      <c r="B190" s="11"/>
      <c r="C190" s="12"/>
      <c r="D190" s="12"/>
      <c r="E190" s="11"/>
      <c r="F190" s="11"/>
      <c r="G190" s="8"/>
      <c r="H190" s="13"/>
    </row>
    <row r="191" customFormat="false" ht="15" hidden="false" customHeight="true" outlineLevel="0" collapsed="false">
      <c r="B191" s="11"/>
      <c r="C191" s="12"/>
      <c r="D191" s="12"/>
      <c r="E191" s="11"/>
      <c r="F191" s="11"/>
      <c r="G191" s="8"/>
      <c r="H191" s="13"/>
    </row>
    <row r="192" customFormat="false" ht="15" hidden="false" customHeight="true" outlineLevel="0" collapsed="false">
      <c r="B192" s="11"/>
      <c r="C192" s="12"/>
      <c r="D192" s="12"/>
      <c r="E192" s="11"/>
      <c r="F192" s="11"/>
      <c r="G192" s="8"/>
      <c r="H192" s="13"/>
    </row>
    <row r="193" customFormat="false" ht="15" hidden="false" customHeight="true" outlineLevel="0" collapsed="false">
      <c r="B193" s="11"/>
      <c r="C193" s="12"/>
      <c r="D193" s="12"/>
      <c r="E193" s="11"/>
      <c r="F193" s="11"/>
      <c r="G193" s="8"/>
      <c r="H193" s="13"/>
    </row>
    <row r="194" customFormat="false" ht="15" hidden="false" customHeight="true" outlineLevel="0" collapsed="false">
      <c r="B194" s="11"/>
      <c r="C194" s="12"/>
      <c r="D194" s="12"/>
      <c r="E194" s="11"/>
      <c r="F194" s="11"/>
      <c r="G194" s="8"/>
      <c r="H194" s="13"/>
    </row>
    <row r="195" customFormat="false" ht="15" hidden="false" customHeight="true" outlineLevel="0" collapsed="false">
      <c r="B195" s="11"/>
      <c r="C195" s="12"/>
      <c r="D195" s="12"/>
      <c r="E195" s="11"/>
      <c r="F195" s="11"/>
      <c r="G195" s="8"/>
      <c r="H195" s="13"/>
    </row>
    <row r="196" customFormat="false" ht="15" hidden="false" customHeight="true" outlineLevel="0" collapsed="false">
      <c r="B196" s="11"/>
      <c r="C196" s="12"/>
      <c r="D196" s="12"/>
      <c r="E196" s="11"/>
      <c r="F196" s="11"/>
      <c r="G196" s="8"/>
      <c r="H196" s="13"/>
    </row>
    <row r="197" customFormat="false" ht="15" hidden="false" customHeight="true" outlineLevel="0" collapsed="false">
      <c r="B197" s="11"/>
      <c r="C197" s="12"/>
      <c r="D197" s="12"/>
      <c r="E197" s="11"/>
      <c r="F197" s="11"/>
      <c r="G197" s="8"/>
      <c r="H197" s="13"/>
    </row>
    <row r="198" customFormat="false" ht="15" hidden="false" customHeight="true" outlineLevel="0" collapsed="false">
      <c r="B198" s="11"/>
      <c r="C198" s="12"/>
      <c r="D198" s="12"/>
      <c r="E198" s="11"/>
      <c r="F198" s="11"/>
      <c r="G198" s="8"/>
      <c r="H198" s="13"/>
    </row>
    <row r="199" customFormat="false" ht="15" hidden="false" customHeight="true" outlineLevel="0" collapsed="false">
      <c r="B199" s="11"/>
      <c r="C199" s="12"/>
      <c r="D199" s="12"/>
      <c r="E199" s="11"/>
      <c r="F199" s="11"/>
      <c r="G199" s="8"/>
      <c r="H199" s="13"/>
    </row>
    <row r="200" customFormat="false" ht="15" hidden="false" customHeight="true" outlineLevel="0" collapsed="false">
      <c r="B200" s="11"/>
      <c r="C200" s="12"/>
      <c r="D200" s="12"/>
      <c r="E200" s="11"/>
      <c r="F200" s="11"/>
      <c r="G200" s="8"/>
      <c r="H200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34"/>
    <col collapsed="false" customWidth="true" hidden="false" outlineLevel="0" max="2" min="2" style="1" width="9.42"/>
    <col collapsed="false" customWidth="true" hidden="false" outlineLevel="0" max="3" min="3" style="1" width="12.65"/>
    <col collapsed="false" customWidth="true" hidden="false" outlineLevel="0" max="4" min="4" style="1" width="15.88"/>
    <col collapsed="false" customWidth="true" hidden="false" outlineLevel="0" max="5" min="5" style="1" width="17.63"/>
    <col collapsed="false" customWidth="true" hidden="false" outlineLevel="0" max="6" min="6" style="1" width="17.5"/>
    <col collapsed="false" customWidth="true" hidden="false" outlineLevel="0" max="7" min="7" style="1" width="17.23"/>
    <col collapsed="false" customWidth="true" hidden="false" outlineLevel="0" max="8" min="8" style="1" width="10.36"/>
  </cols>
  <sheetData>
    <row r="1" customFormat="false" ht="15" hidden="false" customHeight="true" outlineLevel="0" collapsed="false">
      <c r="A1" s="9" t="s">
        <v>35</v>
      </c>
      <c r="B1" s="9" t="s">
        <v>19</v>
      </c>
      <c r="C1" s="9" t="s">
        <v>20</v>
      </c>
      <c r="D1" s="9" t="s">
        <v>21</v>
      </c>
      <c r="E1" s="9" t="s">
        <v>36</v>
      </c>
      <c r="F1" s="9" t="s">
        <v>23</v>
      </c>
      <c r="G1" s="9" t="s">
        <v>22</v>
      </c>
      <c r="H1" s="9" t="s">
        <v>24</v>
      </c>
      <c r="I1" s="10" t="s">
        <v>32</v>
      </c>
      <c r="J1" s="10" t="s">
        <v>33</v>
      </c>
    </row>
    <row r="2" customFormat="false" ht="15" hidden="false" customHeight="true" outlineLevel="0" collapsed="false">
      <c r="A2" s="1" t="str">
        <f aca="false">INDEX(Data_State!$A$2:$A$28,MATCH(B2,Data_State!$B$2:$B$28,0))</f>
        <v>SP</v>
      </c>
      <c r="B2" s="11" t="n">
        <f aca="false">LARGE(Data_State!$B$2:$B$28,1)</f>
        <v>7350781.42</v>
      </c>
      <c r="C2" s="12" t="n">
        <f aca="false">INDEX(Data_State!$C$2:$C$28,MATCH($A2,Data_State!$A$2:$A$28,0))</f>
        <v>39925</v>
      </c>
      <c r="D2" s="12" t="n">
        <f aca="false">INDEX(Data_State!$D$2:$D$28,MATCH($A2,Data_State!$A$2:$A$28,0))</f>
        <v>39925</v>
      </c>
      <c r="E2" s="11" t="n">
        <f aca="false">INDEX(Data_State!$E$2:$E$28,MATCH($A2,Data_State!$A$2:$A$28,0))</f>
        <v>8.56723721699037</v>
      </c>
      <c r="F2" s="13" t="n">
        <f aca="false">INDEX(Data_State!$F$2:$F$28,MATCH($A2,Data_State!$A$2:$A$28,0))</f>
        <v>0.234324365471193</v>
      </c>
      <c r="G2" s="11" t="n">
        <f aca="false">INDEX(Data_State!$G$2:$G$28,MATCH($A2,Data_State!$A$2:$A$28,0))</f>
        <v>3.8441897387938</v>
      </c>
      <c r="H2" s="11" t="n">
        <f aca="false">INDEX(Data_State!$H$2:$H$28,MATCH($A2,Data_State!$A$2:$A$28,0))</f>
        <v>184.114750657483</v>
      </c>
      <c r="I2" s="15" t="n">
        <f aca="false">B2/SUM(Data_State!$B$2:$B$28)</f>
        <v>0.410646120427591</v>
      </c>
      <c r="J2" s="1" t="n">
        <f aca="false">RANK(B2,Data_State!$B$2:$B$28)</f>
        <v>1</v>
      </c>
    </row>
    <row r="3" customFormat="false" ht="15" hidden="false" customHeight="true" outlineLevel="0" collapsed="false">
      <c r="A3" s="1" t="str">
        <f aca="false">INDEX(Data_State!$A$2:$A$28,MATCH(B3,Data_State!$B$2:$B$28,0))</f>
        <v>RJ</v>
      </c>
      <c r="B3" s="11" t="n">
        <f aca="false">LARGE(Data_State!$B$2:$B$28,2)</f>
        <v>2301497.47</v>
      </c>
      <c r="C3" s="12" t="n">
        <f aca="false">INDEX(Data_State!$C$2:$C$28,MATCH($A3,Data_State!$A$2:$A$28,0))</f>
        <v>12360</v>
      </c>
      <c r="D3" s="12" t="n">
        <f aca="false">INDEX(Data_State!$D$2:$D$28,MATCH($A3,Data_State!$A$2:$A$28,0))</f>
        <v>12360</v>
      </c>
      <c r="E3" s="11" t="n">
        <f aca="false">INDEX(Data_State!$E$2:$E$28,MATCH($A3,Data_State!$A$2:$A$28,0))</f>
        <v>8.51751380829197</v>
      </c>
      <c r="F3" s="13" t="n">
        <f aca="false">INDEX(Data_State!$F$2:$F$28,MATCH($A3,Data_State!$A$2:$A$28,0))</f>
        <v>0.237712368034678</v>
      </c>
      <c r="G3" s="11" t="n">
        <f aca="false">INDEX(Data_State!$G$2:$G$28,MATCH($A3,Data_State!$A$2:$A$28,0))</f>
        <v>3.84576662238691</v>
      </c>
      <c r="H3" s="11" t="n">
        <f aca="false">INDEX(Data_State!$H$2:$H$28,MATCH($A3,Data_State!$A$2:$A$28,0))</f>
        <v>186.205296925566</v>
      </c>
      <c r="I3" s="15" t="n">
        <f aca="false">B3/SUM(Data_State!$B$2:$B$28)</f>
        <v>0.128571501889307</v>
      </c>
      <c r="J3" s="1" t="n">
        <f aca="false">RANK(B3,Data_State!$B$2:$B$28)</f>
        <v>2</v>
      </c>
    </row>
    <row r="4" customFormat="false" ht="15" hidden="false" customHeight="true" outlineLevel="0" collapsed="false">
      <c r="A4" s="1" t="str">
        <f aca="false">INDEX(Data_State!$A$2:$A$28,MATCH(B4,Data_State!$B$2:$B$28,0))</f>
        <v>MG</v>
      </c>
      <c r="B4" s="11" t="n">
        <f aca="false">LARGE(Data_State!$B$2:$B$28,3)</f>
        <v>1931898.96</v>
      </c>
      <c r="C4" s="12" t="n">
        <f aca="false">INDEX(Data_State!$C$2:$C$28,MATCH($A4,Data_State!$A$2:$A$28,0))</f>
        <v>10464</v>
      </c>
      <c r="D4" s="12" t="n">
        <f aca="false">INDEX(Data_State!$D$2:$D$28,MATCH($A4,Data_State!$A$2:$A$28,0))</f>
        <v>10464</v>
      </c>
      <c r="E4" s="11" t="n">
        <f aca="false">INDEX(Data_State!$E$2:$E$28,MATCH($A4,Data_State!$A$2:$A$28,0))</f>
        <v>8.55231744463654</v>
      </c>
      <c r="F4" s="13" t="n">
        <f aca="false">INDEX(Data_State!$F$2:$F$28,MATCH($A4,Data_State!$A$2:$A$28,0))</f>
        <v>0.233143986169425</v>
      </c>
      <c r="G4" s="11" t="n">
        <f aca="false">INDEX(Data_State!$G$2:$G$28,MATCH($A4,Data_State!$A$2:$A$28,0))</f>
        <v>3.85082736478143</v>
      </c>
      <c r="H4" s="11" t="n">
        <f aca="false">INDEX(Data_State!$H$2:$H$28,MATCH($A4,Data_State!$A$2:$A$28,0))</f>
        <v>184.623371559633</v>
      </c>
      <c r="I4" s="15" t="n">
        <f aca="false">B4/SUM(Data_State!$B$2:$B$28)</f>
        <v>0.107924146788478</v>
      </c>
      <c r="J4" s="1" t="n">
        <f aca="false">RANK(B4,Data_State!$B$2:$B$28)</f>
        <v>3</v>
      </c>
    </row>
    <row r="5" customFormat="false" ht="15" hidden="false" customHeight="true" outlineLevel="0" collapsed="false">
      <c r="A5" s="1" t="str">
        <f aca="false">INDEX(Data_State!$A$2:$A$28,MATCH(B5,Data_State!$B$2:$B$28,0))</f>
        <v>PR</v>
      </c>
      <c r="B5" s="11" t="n">
        <f aca="false">LARGE(Data_State!$B$2:$B$28,4)</f>
        <v>1040173.89</v>
      </c>
      <c r="C5" s="12" t="n">
        <f aca="false">INDEX(Data_State!$C$2:$C$28,MATCH($A5,Data_State!$A$2:$A$28,0))</f>
        <v>5717</v>
      </c>
      <c r="D5" s="12" t="n">
        <f aca="false">INDEX(Data_State!$D$2:$D$28,MATCH($A5,Data_State!$A$2:$A$28,0))</f>
        <v>5717</v>
      </c>
      <c r="E5" s="11" t="n">
        <f aca="false">INDEX(Data_State!$E$2:$E$28,MATCH($A5,Data_State!$A$2:$A$28,0))</f>
        <v>8.56536194650144</v>
      </c>
      <c r="F5" s="13" t="n">
        <f aca="false">INDEX(Data_State!$F$2:$F$28,MATCH($A5,Data_State!$A$2:$A$28,0))</f>
        <v>0.22744446123621</v>
      </c>
      <c r="G5" s="11" t="n">
        <f aca="false">INDEX(Data_State!$G$2:$G$28,MATCH($A5,Data_State!$A$2:$A$28,0))</f>
        <v>3.84554934260239</v>
      </c>
      <c r="H5" s="11" t="n">
        <f aca="false">INDEX(Data_State!$H$2:$H$28,MATCH($A5,Data_State!$A$2:$A$28,0))</f>
        <v>181.94400734651</v>
      </c>
      <c r="I5" s="15" t="n">
        <f aca="false">B5/SUM(Data_State!$B$2:$B$28)</f>
        <v>0.0581085667078066</v>
      </c>
      <c r="J5" s="1" t="n">
        <f aca="false">RANK(B5,Data_State!$B$2:$B$28)</f>
        <v>4</v>
      </c>
    </row>
    <row r="6" customFormat="false" ht="15" hidden="false" customHeight="true" outlineLevel="0" collapsed="false">
      <c r="A6" s="1" t="str">
        <f aca="false">INDEX(Data_State!$A$2:$A$28,MATCH(B6,Data_State!$B$2:$B$28,0))</f>
        <v>RS</v>
      </c>
      <c r="B6" s="11" t="n">
        <f aca="false">LARGE(Data_State!$B$2:$B$28,5)</f>
        <v>1032167.07</v>
      </c>
      <c r="C6" s="12" t="n">
        <f aca="false">INDEX(Data_State!$C$2:$C$28,MATCH($A6,Data_State!$A$2:$A$28,0))</f>
        <v>5647</v>
      </c>
      <c r="D6" s="12" t="n">
        <f aca="false">INDEX(Data_State!$D$2:$D$28,MATCH($A6,Data_State!$A$2:$A$28,0))</f>
        <v>5647</v>
      </c>
      <c r="E6" s="11" t="n">
        <f aca="false">INDEX(Data_State!$E$2:$E$28,MATCH($A6,Data_State!$A$2:$A$28,0))</f>
        <v>8.60542122285538</v>
      </c>
      <c r="F6" s="13" t="n">
        <f aca="false">INDEX(Data_State!$F$2:$F$28,MATCH($A6,Data_State!$A$2:$A$28,0))</f>
        <v>0.228553827198522</v>
      </c>
      <c r="G6" s="11" t="n">
        <f aca="false">INDEX(Data_State!$G$2:$G$28,MATCH($A6,Data_State!$A$2:$A$28,0))</f>
        <v>3.82858462960111</v>
      </c>
      <c r="H6" s="11" t="n">
        <f aca="false">INDEX(Data_State!$H$2:$H$28,MATCH($A6,Data_State!$A$2:$A$28,0))</f>
        <v>182.781489286347</v>
      </c>
      <c r="I6" s="15" t="n">
        <f aca="false">B6/SUM(Data_State!$B$2:$B$28)</f>
        <v>0.0576612714636553</v>
      </c>
      <c r="J6" s="1" t="n">
        <f aca="false">RANK(B6,Data_State!$B$2:$B$28)</f>
        <v>5</v>
      </c>
    </row>
    <row r="7" customFormat="false" ht="15" hidden="false" customHeight="true" outlineLevel="0" collapsed="false">
      <c r="A7" s="1" t="str">
        <f aca="false">INDEX(Data_State!$A$2:$A$28,MATCH(B7,Data_State!$B$2:$B$28,0))</f>
        <v>SC</v>
      </c>
      <c r="B7" s="11" t="n">
        <f aca="false">LARGE(Data_State!$B$2:$B$28,6)</f>
        <v>675687.66</v>
      </c>
      <c r="C7" s="12" t="n">
        <f aca="false">INDEX(Data_State!$C$2:$C$28,MATCH($A7,Data_State!$A$2:$A$28,0))</f>
        <v>3773</v>
      </c>
      <c r="D7" s="12" t="n">
        <f aca="false">INDEX(Data_State!$D$2:$D$28,MATCH($A7,Data_State!$A$2:$A$28,0))</f>
        <v>3773</v>
      </c>
      <c r="E7" s="11" t="n">
        <f aca="false">INDEX(Data_State!$E$2:$E$28,MATCH($A7,Data_State!$A$2:$A$28,0))</f>
        <v>8.69932667750174</v>
      </c>
      <c r="F7" s="13" t="n">
        <f aca="false">INDEX(Data_State!$F$2:$F$28,MATCH($A7,Data_State!$A$2:$A$28,0))</f>
        <v>0.23380543301602</v>
      </c>
      <c r="G7" s="11" t="n">
        <f aca="false">INDEX(Data_State!$G$2:$G$28,MATCH($A7,Data_State!$A$2:$A$28,0))</f>
        <v>3.82609705131182</v>
      </c>
      <c r="H7" s="11" t="n">
        <f aca="false">INDEX(Data_State!$H$2:$H$28,MATCH($A7,Data_State!$A$2:$A$28,0))</f>
        <v>179.084988073151</v>
      </c>
      <c r="I7" s="15" t="n">
        <f aca="false">B7/SUM(Data_State!$B$2:$B$28)</f>
        <v>0.0377468054545685</v>
      </c>
      <c r="J7" s="1" t="n">
        <f aca="false">RANK(B7,Data_State!$B$2:$B$28)</f>
        <v>6</v>
      </c>
    </row>
    <row r="8" customFormat="false" ht="15" hidden="false" customHeight="true" outlineLevel="0" collapsed="false">
      <c r="A8" s="1" t="str">
        <f aca="false">INDEX(Data_State!$A$2:$A$28,MATCH(B8,Data_State!$B$2:$B$28,0))</f>
        <v>BA</v>
      </c>
      <c r="B8" s="11" t="n">
        <f aca="false">LARGE(Data_State!$B$2:$B$28,7)</f>
        <v>637932.59</v>
      </c>
      <c r="C8" s="12" t="n">
        <f aca="false">INDEX(Data_State!$C$2:$C$28,MATCH($A8,Data_State!$A$2:$A$28,0))</f>
        <v>3291</v>
      </c>
      <c r="D8" s="12" t="n">
        <f aca="false">INDEX(Data_State!$D$2:$D$28,MATCH($A8,Data_State!$A$2:$A$28,0))</f>
        <v>3291</v>
      </c>
      <c r="E8" s="11" t="n">
        <f aca="false">INDEX(Data_State!$E$2:$E$28,MATCH($A8,Data_State!$A$2:$A$28,0))</f>
        <v>11.6758675078864</v>
      </c>
      <c r="F8" s="13" t="n">
        <f aca="false">INDEX(Data_State!$F$2:$F$28,MATCH($A8,Data_State!$A$2:$A$28,0))</f>
        <v>0.273922187171399</v>
      </c>
      <c r="G8" s="11" t="n">
        <f aca="false">INDEX(Data_State!$G$2:$G$28,MATCH($A8,Data_State!$A$2:$A$28,0))</f>
        <v>3.80415352260778</v>
      </c>
      <c r="H8" s="11" t="n">
        <f aca="false">INDEX(Data_State!$H$2:$H$28,MATCH($A8,Data_State!$A$2:$A$28,0))</f>
        <v>193.841564873899</v>
      </c>
      <c r="I8" s="15" t="n">
        <f aca="false">B8/SUM(Data_State!$B$2:$B$28)</f>
        <v>0.0356376456066388</v>
      </c>
      <c r="J8" s="1" t="n">
        <f aca="false">RANK(B8,Data_State!$B$2:$B$28)</f>
        <v>7</v>
      </c>
    </row>
    <row r="9" customFormat="false" ht="15" hidden="false" customHeight="true" outlineLevel="0" collapsed="false">
      <c r="A9" s="1" t="str">
        <f aca="false">INDEX(Data_State!$A$2:$A$28,MATCH(B9,Data_State!$B$2:$B$28,0))</f>
        <v>DF</v>
      </c>
      <c r="B9" s="11" t="n">
        <f aca="false">LARGE(Data_State!$B$2:$B$28,8)</f>
        <v>442969.55</v>
      </c>
      <c r="C9" s="12" t="n">
        <f aca="false">INDEX(Data_State!$C$2:$C$28,MATCH($A9,Data_State!$A$2:$A$28,0))</f>
        <v>2354</v>
      </c>
      <c r="D9" s="12" t="n">
        <f aca="false">INDEX(Data_State!$D$2:$D$28,MATCH($A9,Data_State!$A$2:$A$28,0))</f>
        <v>2354</v>
      </c>
      <c r="E9" s="11" t="n">
        <f aca="false">INDEX(Data_State!$E$2:$E$28,MATCH($A9,Data_State!$A$2:$A$28,0))</f>
        <v>11.600818452381</v>
      </c>
      <c r="F9" s="13" t="n">
        <f aca="false">INDEX(Data_State!$F$2:$F$28,MATCH($A9,Data_State!$A$2:$A$28,0))</f>
        <v>0.286458333333333</v>
      </c>
      <c r="G9" s="11" t="n">
        <f aca="false">INDEX(Data_State!$G$2:$G$28,MATCH($A9,Data_State!$A$2:$A$28,0))</f>
        <v>3.77752976190476</v>
      </c>
      <c r="H9" s="11" t="n">
        <f aca="false">INDEX(Data_State!$H$2:$H$28,MATCH($A9,Data_State!$A$2:$A$28,0))</f>
        <v>188.177378929482</v>
      </c>
      <c r="I9" s="15" t="n">
        <f aca="false">B9/SUM(Data_State!$B$2:$B$28)</f>
        <v>0.0247461755127329</v>
      </c>
      <c r="J9" s="1" t="n">
        <f aca="false">RANK(B9,Data_State!$B$2:$B$28)</f>
        <v>8</v>
      </c>
    </row>
    <row r="10" customFormat="false" ht="15" hidden="false" customHeight="true" outlineLevel="0" collapsed="false">
      <c r="A10" s="1" t="str">
        <f aca="false">INDEX(Data_State!$A$2:$A$28,MATCH(B10,Data_State!$B$2:$B$28,0))</f>
        <v>GO</v>
      </c>
      <c r="B10" s="11" t="n">
        <f aca="false">LARGE(Data_State!$B$2:$B$28,9)</f>
        <v>367749.68</v>
      </c>
      <c r="C10" s="12" t="n">
        <f aca="false">INDEX(Data_State!$C$2:$C$28,MATCH($A10,Data_State!$A$2:$A$28,0))</f>
        <v>1908</v>
      </c>
      <c r="D10" s="12" t="n">
        <f aca="false">INDEX(Data_State!$D$2:$D$28,MATCH($A10,Data_State!$A$2:$A$28,0))</f>
        <v>1908</v>
      </c>
      <c r="E10" s="11" t="n">
        <f aca="false">INDEX(Data_State!$E$2:$E$28,MATCH($A10,Data_State!$A$2:$A$28,0))</f>
        <v>11.4388586956522</v>
      </c>
      <c r="F10" s="13" t="n">
        <f aca="false">INDEX(Data_State!$F$2:$F$28,MATCH($A10,Data_State!$A$2:$A$28,0))</f>
        <v>0.268115942028986</v>
      </c>
      <c r="G10" s="11" t="n">
        <f aca="false">INDEX(Data_State!$G$2:$G$28,MATCH($A10,Data_State!$A$2:$A$28,0))</f>
        <v>3.79710144927536</v>
      </c>
      <c r="H10" s="11" t="n">
        <f aca="false">INDEX(Data_State!$H$2:$H$28,MATCH($A10,Data_State!$A$2:$A$28,0))</f>
        <v>192.740922431866</v>
      </c>
      <c r="I10" s="15" t="n">
        <f aca="false">B10/SUM(Data_State!$B$2:$B$28)</f>
        <v>0.0205440715417828</v>
      </c>
      <c r="J10" s="1" t="n">
        <f aca="false">RANK(B10,Data_State!$B$2:$B$28)</f>
        <v>9</v>
      </c>
    </row>
    <row r="11" customFormat="false" ht="15" hidden="false" customHeight="true" outlineLevel="0" collapsed="false">
      <c r="A11" s="1" t="str">
        <f aca="false">INDEX(Data_State!$A$2:$A$28,MATCH(B11,Data_State!$B$2:$B$28,0))</f>
        <v>PE</v>
      </c>
      <c r="B11" s="11" t="n">
        <f aca="false">LARGE(Data_State!$B$2:$B$28,10)</f>
        <v>329110.58</v>
      </c>
      <c r="C11" s="12" t="n">
        <f aca="false">INDEX(Data_State!$C$2:$C$28,MATCH($A11,Data_State!$A$2:$A$28,0))</f>
        <v>1713</v>
      </c>
      <c r="D11" s="12" t="n">
        <f aca="false">INDEX(Data_State!$D$2:$D$28,MATCH($A11,Data_State!$A$2:$A$28,0))</f>
        <v>1713</v>
      </c>
      <c r="E11" s="11" t="n">
        <f aca="false">INDEX(Data_State!$E$2:$E$28,MATCH($A11,Data_State!$A$2:$A$28,0))</f>
        <v>11.5424936386768</v>
      </c>
      <c r="F11" s="13" t="n">
        <f aca="false">INDEX(Data_State!$F$2:$F$28,MATCH($A11,Data_State!$A$2:$A$28,0))</f>
        <v>0.256488549618321</v>
      </c>
      <c r="G11" s="11" t="n">
        <f aca="false">INDEX(Data_State!$G$2:$G$28,MATCH($A11,Data_State!$A$2:$A$28,0))</f>
        <v>3.8030534351145</v>
      </c>
      <c r="H11" s="11" t="n">
        <f aca="false">INDEX(Data_State!$H$2:$H$28,MATCH($A11,Data_State!$A$2:$A$28,0))</f>
        <v>192.125265615879</v>
      </c>
      <c r="I11" s="15" t="n">
        <f aca="false">B11/SUM(Data_State!$B$2:$B$28)</f>
        <v>0.0183855259933269</v>
      </c>
      <c r="J11" s="1" t="n">
        <f aca="false">RANK(B11,Data_State!$B$2:$B$28)</f>
        <v>10</v>
      </c>
    </row>
    <row r="12" customFormat="false" ht="15" hidden="false" customHeight="true" outlineLevel="0" collapsed="false">
      <c r="A12" s="1" t="str">
        <f aca="false">INDEX(Data_State!$A$2:$A$28,MATCH(B12,Data_State!$B$2:$B$28,0))</f>
        <v>CE</v>
      </c>
      <c r="B12" s="11" t="n">
        <f aca="false">LARGE(Data_State!$B$2:$B$28,11)</f>
        <v>269511.08</v>
      </c>
      <c r="C12" s="12" t="n">
        <f aca="false">INDEX(Data_State!$C$2:$C$28,MATCH($A12,Data_State!$A$2:$A$28,0))</f>
        <v>1425</v>
      </c>
      <c r="D12" s="12" t="n">
        <f aca="false">INDEX(Data_State!$D$2:$D$28,MATCH($A12,Data_State!$A$2:$A$28,0))</f>
        <v>1425</v>
      </c>
      <c r="E12" s="11" t="n">
        <f aca="false">INDEX(Data_State!$E$2:$E$28,MATCH($A12,Data_State!$A$2:$A$28,0))</f>
        <v>11.4779951100245</v>
      </c>
      <c r="F12" s="13" t="n">
        <f aca="false">INDEX(Data_State!$F$2:$F$28,MATCH($A12,Data_State!$A$2:$A$28,0))</f>
        <v>0.267726161369193</v>
      </c>
      <c r="G12" s="11" t="n">
        <f aca="false">INDEX(Data_State!$G$2:$G$28,MATCH($A12,Data_State!$A$2:$A$28,0))</f>
        <v>3.82151589242054</v>
      </c>
      <c r="H12" s="11" t="n">
        <f aca="false">INDEX(Data_State!$H$2:$H$28,MATCH($A12,Data_State!$A$2:$A$28,0))</f>
        <v>189.13058245614</v>
      </c>
      <c r="I12" s="15" t="n">
        <f aca="false">B12/SUM(Data_State!$B$2:$B$28)</f>
        <v>0.0150560427648045</v>
      </c>
      <c r="J12" s="1" t="n">
        <f aca="false">RANK(B12,Data_State!$B$2:$B$28)</f>
        <v>11</v>
      </c>
    </row>
    <row r="13" customFormat="false" ht="15" hidden="false" customHeight="true" outlineLevel="0" collapsed="false">
      <c r="A13" s="1" t="str">
        <f aca="false">INDEX(Data_State!$A$2:$A$28,MATCH(B13,Data_State!$B$2:$B$28,0))</f>
        <v>ES</v>
      </c>
      <c r="B13" s="11" t="n">
        <f aca="false">LARGE(Data_State!$B$2:$B$28,12)</f>
        <v>216827.84</v>
      </c>
      <c r="C13" s="12" t="n">
        <f aca="false">INDEX(Data_State!$C$2:$C$28,MATCH($A13,Data_State!$A$2:$A$28,0))</f>
        <v>1159</v>
      </c>
      <c r="D13" s="12" t="n">
        <f aca="false">INDEX(Data_State!$D$2:$D$28,MATCH($A13,Data_State!$A$2:$A$28,0))</f>
        <v>1159</v>
      </c>
      <c r="E13" s="11" t="n">
        <f aca="false">INDEX(Data_State!$E$2:$E$28,MATCH($A13,Data_State!$A$2:$A$28,0))</f>
        <v>11.6170531039641</v>
      </c>
      <c r="F13" s="13" t="n">
        <f aca="false">INDEX(Data_State!$F$2:$F$28,MATCH($A13,Data_State!$A$2:$A$28,0))</f>
        <v>0.290201944652206</v>
      </c>
      <c r="G13" s="11" t="n">
        <f aca="false">INDEX(Data_State!$G$2:$G$28,MATCH($A13,Data_State!$A$2:$A$28,0))</f>
        <v>3.74121166791324</v>
      </c>
      <c r="H13" s="11" t="n">
        <f aca="false">INDEX(Data_State!$H$2:$H$28,MATCH($A13,Data_State!$A$2:$A$28,0))</f>
        <v>187.081829163072</v>
      </c>
      <c r="I13" s="15" t="n">
        <f aca="false">B13/SUM(Data_State!$B$2:$B$28)</f>
        <v>0.012112931429907</v>
      </c>
      <c r="J13" s="1" t="n">
        <f aca="false">RANK(B13,Data_State!$B$2:$B$28)</f>
        <v>12</v>
      </c>
    </row>
    <row r="14" customFormat="false" ht="15" hidden="false" customHeight="true" outlineLevel="0" collapsed="false">
      <c r="A14" s="1" t="str">
        <f aca="false">INDEX(Data_State!$A$2:$A$28,MATCH(B14,Data_State!$B$2:$B$28,0))</f>
        <v>PA</v>
      </c>
      <c r="B14" s="11" t="n">
        <f aca="false">LARGE(Data_State!$B$2:$B$28,13)</f>
        <v>215025.41</v>
      </c>
      <c r="C14" s="12" t="n">
        <f aca="false">INDEX(Data_State!$C$2:$C$28,MATCH($A14,Data_State!$A$2:$A$28,0))</f>
        <v>1134</v>
      </c>
      <c r="D14" s="12" t="n">
        <f aca="false">INDEX(Data_State!$D$2:$D$28,MATCH($A14,Data_State!$A$2:$A$28,0))</f>
        <v>1134</v>
      </c>
      <c r="E14" s="11" t="n">
        <f aca="false">INDEX(Data_State!$E$2:$E$28,MATCH($A14,Data_State!$A$2:$A$28,0))</f>
        <v>11.6476923076923</v>
      </c>
      <c r="F14" s="13" t="n">
        <f aca="false">INDEX(Data_State!$F$2:$F$28,MATCH($A14,Data_State!$A$2:$A$28,0))</f>
        <v>0.275384615384615</v>
      </c>
      <c r="G14" s="11" t="n">
        <f aca="false">INDEX(Data_State!$G$2:$G$28,MATCH($A14,Data_State!$A$2:$A$28,0))</f>
        <v>3.75153846153846</v>
      </c>
      <c r="H14" s="11" t="n">
        <f aca="false">INDEX(Data_State!$H$2:$H$28,MATCH($A14,Data_State!$A$2:$A$28,0))</f>
        <v>189.61676366843</v>
      </c>
      <c r="I14" s="15" t="n">
        <f aca="false">B14/SUM(Data_State!$B$2:$B$28)</f>
        <v>0.0120122399735091</v>
      </c>
      <c r="J14" s="1" t="n">
        <f aca="false">RANK(B14,Data_State!$B$2:$B$28)</f>
        <v>13</v>
      </c>
    </row>
    <row r="15" customFormat="false" ht="15" hidden="false" customHeight="true" outlineLevel="0" collapsed="false">
      <c r="A15" s="1" t="str">
        <f aca="false">INDEX(Data_State!$A$2:$A$28,MATCH(B15,Data_State!$B$2:$B$28,0))</f>
        <v>MT</v>
      </c>
      <c r="B15" s="11" t="n">
        <f aca="false">LARGE(Data_State!$B$2:$B$28,14)</f>
        <v>162995.59</v>
      </c>
      <c r="C15" s="12" t="n">
        <f aca="false">INDEX(Data_State!$C$2:$C$28,MATCH($A15,Data_State!$A$2:$A$28,0))</f>
        <v>852</v>
      </c>
      <c r="D15" s="12" t="n">
        <f aca="false">INDEX(Data_State!$D$2:$D$28,MATCH($A15,Data_State!$A$2:$A$28,0))</f>
        <v>852</v>
      </c>
      <c r="E15" s="11" t="n">
        <f aca="false">INDEX(Data_State!$E$2:$E$28,MATCH($A15,Data_State!$A$2:$A$28,0))</f>
        <v>11.5244399185336</v>
      </c>
      <c r="F15" s="13" t="n">
        <f aca="false">INDEX(Data_State!$F$2:$F$28,MATCH($A15,Data_State!$A$2:$A$28,0))</f>
        <v>0.25152749490835</v>
      </c>
      <c r="G15" s="11" t="n">
        <f aca="false">INDEX(Data_State!$G$2:$G$28,MATCH($A15,Data_State!$A$2:$A$28,0))</f>
        <v>3.86558044806517</v>
      </c>
      <c r="H15" s="11" t="n">
        <f aca="false">INDEX(Data_State!$H$2:$H$28,MATCH($A15,Data_State!$A$2:$A$28,0))</f>
        <v>191.309377934272</v>
      </c>
      <c r="I15" s="15" t="n">
        <f aca="false">B15/SUM(Data_State!$B$2:$B$28)</f>
        <v>0.00910563147724589</v>
      </c>
      <c r="J15" s="1" t="n">
        <f aca="false">RANK(B15,Data_State!$B$2:$B$28)</f>
        <v>14</v>
      </c>
    </row>
    <row r="16" customFormat="false" ht="15" hidden="false" customHeight="true" outlineLevel="0" collapsed="false">
      <c r="A16" s="1" t="str">
        <f aca="false">INDEX(Data_State!$A$2:$A$28,MATCH(B16,Data_State!$B$2:$B$28,0))</f>
        <v>MA</v>
      </c>
      <c r="B16" s="11" t="n">
        <f aca="false">LARGE(Data_State!$B$2:$B$28,15)</f>
        <v>140136.83</v>
      </c>
      <c r="C16" s="12" t="n">
        <f aca="false">INDEX(Data_State!$C$2:$C$28,MATCH($A16,Data_State!$A$2:$A$28,0))</f>
        <v>740</v>
      </c>
      <c r="D16" s="12" t="n">
        <f aca="false">INDEX(Data_State!$D$2:$D$28,MATCH($A16,Data_State!$A$2:$A$28,0))</f>
        <v>740</v>
      </c>
      <c r="E16" s="11" t="n">
        <f aca="false">INDEX(Data_State!$E$2:$E$28,MATCH($A16,Data_State!$A$2:$A$28,0))</f>
        <v>11.270783847981</v>
      </c>
      <c r="F16" s="13" t="n">
        <f aca="false">INDEX(Data_State!$F$2:$F$28,MATCH($A16,Data_State!$A$2:$A$28,0))</f>
        <v>0.318289786223278</v>
      </c>
      <c r="G16" s="11" t="n">
        <f aca="false">INDEX(Data_State!$G$2:$G$28,MATCH($A16,Data_State!$A$2:$A$28,0))</f>
        <v>3.6686460807601</v>
      </c>
      <c r="H16" s="11" t="n">
        <f aca="false">INDEX(Data_State!$H$2:$H$28,MATCH($A16,Data_State!$A$2:$A$28,0))</f>
        <v>189.374094594595</v>
      </c>
      <c r="I16" s="15" t="n">
        <f aca="false">B16/SUM(Data_State!$B$2:$B$28)</f>
        <v>0.00782864328028418</v>
      </c>
      <c r="J16" s="1" t="n">
        <f aca="false">RANK(B16,Data_State!$B$2:$B$28)</f>
        <v>15</v>
      </c>
    </row>
    <row r="17" customFormat="false" ht="15" hidden="false" customHeight="true" outlineLevel="0" collapsed="false">
      <c r="A17" s="1" t="str">
        <f aca="false">INDEX(Data_State!$A$2:$A$28,MATCH(B17,Data_State!$B$2:$B$28,0))</f>
        <v>MS</v>
      </c>
      <c r="B17" s="11" t="n">
        <f aca="false">LARGE(Data_State!$B$2:$B$28,16)</f>
        <v>128830.96</v>
      </c>
      <c r="C17" s="12" t="n">
        <f aca="false">INDEX(Data_State!$C$2:$C$28,MATCH($A17,Data_State!$A$2:$A$28,0))</f>
        <v>666</v>
      </c>
      <c r="D17" s="12" t="n">
        <f aca="false">INDEX(Data_State!$D$2:$D$28,MATCH($A17,Data_State!$A$2:$A$28,0))</f>
        <v>666</v>
      </c>
      <c r="E17" s="11" t="n">
        <f aca="false">INDEX(Data_State!$E$2:$E$28,MATCH($A17,Data_State!$A$2:$A$28,0))</f>
        <v>11.3873056994819</v>
      </c>
      <c r="F17" s="13" t="n">
        <f aca="false">INDEX(Data_State!$F$2:$F$28,MATCH($A17,Data_State!$A$2:$A$28,0))</f>
        <v>0.301813471502591</v>
      </c>
      <c r="G17" s="11" t="n">
        <f aca="false">INDEX(Data_State!$G$2:$G$28,MATCH($A17,Data_State!$A$2:$A$28,0))</f>
        <v>3.76424870466321</v>
      </c>
      <c r="H17" s="11" t="n">
        <f aca="false">INDEX(Data_State!$H$2:$H$28,MATCH($A17,Data_State!$A$2:$A$28,0))</f>
        <v>193.43987987988</v>
      </c>
      <c r="I17" s="15" t="n">
        <f aca="false">B17/SUM(Data_State!$B$2:$B$28)</f>
        <v>0.00719704897917671</v>
      </c>
      <c r="J17" s="1" t="n">
        <f aca="false">RANK(B17,Data_State!$B$2:$B$28)</f>
        <v>16</v>
      </c>
    </row>
    <row r="18" customFormat="false" ht="15" hidden="false" customHeight="true" outlineLevel="0" collapsed="false">
      <c r="A18" s="1" t="str">
        <f aca="false">INDEX(Data_State!$A$2:$A$28,MATCH(B18,Data_State!$B$2:$B$28,0))</f>
        <v>RN</v>
      </c>
      <c r="B18" s="11" t="n">
        <f aca="false">LARGE(Data_State!$B$2:$B$28,17)</f>
        <v>113124.3</v>
      </c>
      <c r="C18" s="12" t="n">
        <f aca="false">INDEX(Data_State!$C$2:$C$28,MATCH($A18,Data_State!$A$2:$A$28,0))</f>
        <v>594</v>
      </c>
      <c r="D18" s="12" t="n">
        <f aca="false">INDEX(Data_State!$D$2:$D$28,MATCH($A18,Data_State!$A$2:$A$28,0))</f>
        <v>594</v>
      </c>
      <c r="E18" s="11" t="n">
        <f aca="false">INDEX(Data_State!$E$2:$E$28,MATCH($A18,Data_State!$A$2:$A$28,0))</f>
        <v>11.6454413892909</v>
      </c>
      <c r="F18" s="13" t="n">
        <f aca="false">INDEX(Data_State!$F$2:$F$28,MATCH($A18,Data_State!$A$2:$A$28,0))</f>
        <v>0.31548480463097</v>
      </c>
      <c r="G18" s="11" t="n">
        <f aca="false">INDEX(Data_State!$G$2:$G$28,MATCH($A18,Data_State!$A$2:$A$28,0))</f>
        <v>3.77568740955138</v>
      </c>
      <c r="H18" s="11" t="n">
        <f aca="false">INDEX(Data_State!$H$2:$H$28,MATCH($A18,Data_State!$A$2:$A$28,0))</f>
        <v>190.44494949495</v>
      </c>
      <c r="I18" s="15" t="n">
        <f aca="false">B18/SUM(Data_State!$B$2:$B$28)</f>
        <v>0.00631960770792269</v>
      </c>
      <c r="J18" s="1" t="n">
        <f aca="false">RANK(B18,Data_State!$B$2:$B$28)</f>
        <v>17</v>
      </c>
    </row>
    <row r="19" customFormat="false" ht="15" hidden="false" customHeight="true" outlineLevel="0" collapsed="false">
      <c r="A19" s="1" t="str">
        <f aca="false">INDEX(Data_State!$A$2:$A$28,MATCH(B19,Data_State!$B$2:$B$28,0))</f>
        <v>PB</v>
      </c>
      <c r="B19" s="11" t="n">
        <f aca="false">LARGE(Data_State!$B$2:$B$28,18)</f>
        <v>100852.32</v>
      </c>
      <c r="C19" s="12" t="n">
        <f aca="false">INDEX(Data_State!$C$2:$C$28,MATCH($A19,Data_State!$A$2:$A$28,0))</f>
        <v>529</v>
      </c>
      <c r="D19" s="12" t="n">
        <f aca="false">INDEX(Data_State!$D$2:$D$28,MATCH($A19,Data_State!$A$2:$A$28,0))</f>
        <v>529</v>
      </c>
      <c r="E19" s="11" t="n">
        <f aca="false">INDEX(Data_State!$E$2:$E$28,MATCH($A19,Data_State!$A$2:$A$28,0))</f>
        <v>11.5439189189189</v>
      </c>
      <c r="F19" s="13" t="n">
        <f aca="false">INDEX(Data_State!$F$2:$F$28,MATCH($A19,Data_State!$A$2:$A$28,0))</f>
        <v>0.288851351351351</v>
      </c>
      <c r="G19" s="11" t="n">
        <f aca="false">INDEX(Data_State!$G$2:$G$28,MATCH($A19,Data_State!$A$2:$A$28,0))</f>
        <v>3.81756756756757</v>
      </c>
      <c r="H19" s="11" t="n">
        <f aca="false">INDEX(Data_State!$H$2:$H$28,MATCH($A19,Data_State!$A$2:$A$28,0))</f>
        <v>190.647107750473</v>
      </c>
      <c r="I19" s="15" t="n">
        <f aca="false">B19/SUM(Data_State!$B$2:$B$28)</f>
        <v>0.00563404236608656</v>
      </c>
      <c r="J19" s="1" t="n">
        <f aca="false">RANK(B19,Data_State!$B$2:$B$28)</f>
        <v>18</v>
      </c>
    </row>
    <row r="20" customFormat="false" ht="15" hidden="false" customHeight="true" outlineLevel="0" collapsed="false">
      <c r="A20" s="1" t="str">
        <f aca="false">INDEX(Data_State!$A$2:$A$28,MATCH(B20,Data_State!$B$2:$B$28,0))</f>
        <v>PI</v>
      </c>
      <c r="B20" s="11" t="n">
        <f aca="false">LARGE(Data_State!$B$2:$B$28,19)</f>
        <v>95364.47</v>
      </c>
      <c r="C20" s="12" t="n">
        <f aca="false">INDEX(Data_State!$C$2:$C$28,MATCH($A20,Data_State!$A$2:$A$28,0))</f>
        <v>496</v>
      </c>
      <c r="D20" s="12" t="n">
        <f aca="false">INDEX(Data_State!$D$2:$D$28,MATCH($A20,Data_State!$A$2:$A$28,0))</f>
        <v>496</v>
      </c>
      <c r="E20" s="11" t="n">
        <f aca="false">INDEX(Data_State!$E$2:$E$28,MATCH($A20,Data_State!$A$2:$A$28,0))</f>
        <v>11.5432098765432</v>
      </c>
      <c r="F20" s="13" t="n">
        <f aca="false">INDEX(Data_State!$F$2:$F$28,MATCH($A20,Data_State!$A$2:$A$28,0))</f>
        <v>0.28042328042328</v>
      </c>
      <c r="G20" s="11" t="n">
        <f aca="false">INDEX(Data_State!$G$2:$G$28,MATCH($A20,Data_State!$A$2:$A$28,0))</f>
        <v>3.88183421516755</v>
      </c>
      <c r="H20" s="11" t="n">
        <f aca="false">INDEX(Data_State!$H$2:$H$28,MATCH($A20,Data_State!$A$2:$A$28,0))</f>
        <v>192.267076612903</v>
      </c>
      <c r="I20" s="15" t="n">
        <f aca="false">B20/SUM(Data_State!$B$2:$B$28)</f>
        <v>0.00532746757039789</v>
      </c>
      <c r="J20" s="1" t="n">
        <f aca="false">RANK(B20,Data_State!$B$2:$B$28)</f>
        <v>19</v>
      </c>
    </row>
    <row r="21" customFormat="false" ht="15" hidden="false" customHeight="true" outlineLevel="0" collapsed="false">
      <c r="A21" s="1" t="str">
        <f aca="false">INDEX(Data_State!$A$2:$A$28,MATCH(B21,Data_State!$B$2:$B$28,0))</f>
        <v>AL</v>
      </c>
      <c r="B21" s="11" t="n">
        <f aca="false">LARGE(Data_State!$B$2:$B$28,20)</f>
        <v>85414.21</v>
      </c>
      <c r="C21" s="12" t="n">
        <f aca="false">INDEX(Data_State!$C$2:$C$28,MATCH($A21,Data_State!$A$2:$A$28,0))</f>
        <v>445</v>
      </c>
      <c r="D21" s="12" t="n">
        <f aca="false">INDEX(Data_State!$D$2:$D$28,MATCH($A21,Data_State!$A$2:$A$28,0))</f>
        <v>445</v>
      </c>
      <c r="E21" s="11" t="n">
        <f aca="false">INDEX(Data_State!$E$2:$E$28,MATCH($A21,Data_State!$A$2:$A$28,0))</f>
        <v>12.1539923954373</v>
      </c>
      <c r="F21" s="13" t="n">
        <f aca="false">INDEX(Data_State!$F$2:$F$28,MATCH($A21,Data_State!$A$2:$A$28,0))</f>
        <v>0.249049429657795</v>
      </c>
      <c r="G21" s="11" t="n">
        <f aca="false">INDEX(Data_State!$G$2:$G$28,MATCH($A21,Data_State!$A$2:$A$28,0))</f>
        <v>3.74144486692015</v>
      </c>
      <c r="H21" s="11" t="n">
        <f aca="false">INDEX(Data_State!$H$2:$H$28,MATCH($A21,Data_State!$A$2:$A$28,0))</f>
        <v>191.94204494382</v>
      </c>
      <c r="I21" s="15" t="n">
        <f aca="false">B21/SUM(Data_State!$B$2:$B$28)</f>
        <v>0.00477160344755395</v>
      </c>
      <c r="J21" s="1" t="n">
        <f aca="false">RANK(B21,Data_State!$B$2:$B$28)</f>
        <v>20</v>
      </c>
    </row>
    <row r="22" customFormat="false" ht="15" hidden="false" customHeight="true" outlineLevel="0" collapsed="false">
      <c r="A22" s="1" t="str">
        <f aca="false">INDEX(Data_State!$A$2:$A$28,MATCH(B22,Data_State!$B$2:$B$28,0))</f>
        <v>SE</v>
      </c>
      <c r="B22" s="11" t="n">
        <f aca="false">LARGE(Data_State!$B$2:$B$28,21)</f>
        <v>79841.85</v>
      </c>
      <c r="C22" s="12" t="n">
        <f aca="false">INDEX(Data_State!$C$2:$C$28,MATCH($A22,Data_State!$A$2:$A$28,0))</f>
        <v>414</v>
      </c>
      <c r="D22" s="12" t="n">
        <f aca="false">INDEX(Data_State!$D$2:$D$28,MATCH($A22,Data_State!$A$2:$A$28,0))</f>
        <v>414</v>
      </c>
      <c r="E22" s="11" t="n">
        <f aca="false">INDEX(Data_State!$E$2:$E$28,MATCH($A22,Data_State!$A$2:$A$28,0))</f>
        <v>12.2119341563786</v>
      </c>
      <c r="F22" s="13" t="n">
        <f aca="false">INDEX(Data_State!$F$2:$F$28,MATCH($A22,Data_State!$A$2:$A$28,0))</f>
        <v>0.308641975308642</v>
      </c>
      <c r="G22" s="11" t="n">
        <f aca="false">INDEX(Data_State!$G$2:$G$28,MATCH($A22,Data_State!$A$2:$A$28,0))</f>
        <v>3.72633744855967</v>
      </c>
      <c r="H22" s="11" t="n">
        <f aca="false">INDEX(Data_State!$H$2:$H$28,MATCH($A22,Data_State!$A$2:$A$28,0))</f>
        <v>192.854710144928</v>
      </c>
      <c r="I22" s="15" t="n">
        <f aca="false">B22/SUM(Data_State!$B$2:$B$28)</f>
        <v>0.00446030756145945</v>
      </c>
      <c r="J22" s="1" t="n">
        <f aca="false">RANK(B22,Data_State!$B$2:$B$28)</f>
        <v>21</v>
      </c>
    </row>
    <row r="23" customFormat="false" ht="15" hidden="false" customHeight="true" outlineLevel="0" collapsed="false">
      <c r="A23" s="1" t="str">
        <f aca="false">INDEX(Data_State!$A$2:$A$28,MATCH(B23,Data_State!$B$2:$B$28,0))</f>
        <v>RO</v>
      </c>
      <c r="B23" s="11" t="n">
        <f aca="false">LARGE(Data_State!$B$2:$B$28,22)</f>
        <v>51963.2</v>
      </c>
      <c r="C23" s="12" t="n">
        <f aca="false">INDEX(Data_State!$C$2:$C$28,MATCH($A23,Data_State!$A$2:$A$28,0))</f>
        <v>275</v>
      </c>
      <c r="D23" s="12" t="n">
        <f aca="false">INDEX(Data_State!$D$2:$D$28,MATCH($A23,Data_State!$A$2:$A$28,0))</f>
        <v>275</v>
      </c>
      <c r="E23" s="11" t="n">
        <f aca="false">INDEX(Data_State!$E$2:$E$28,MATCH($A23,Data_State!$A$2:$A$28,0))</f>
        <v>11.2861635220126</v>
      </c>
      <c r="F23" s="13" t="n">
        <f aca="false">INDEX(Data_State!$F$2:$F$28,MATCH($A23,Data_State!$A$2:$A$28,0))</f>
        <v>0.29559748427673</v>
      </c>
      <c r="G23" s="11" t="n">
        <f aca="false">INDEX(Data_State!$G$2:$G$28,MATCH($A23,Data_State!$A$2:$A$28,0))</f>
        <v>3.84276729559748</v>
      </c>
      <c r="H23" s="11" t="n">
        <f aca="false">INDEX(Data_State!$H$2:$H$28,MATCH($A23,Data_State!$A$2:$A$28,0))</f>
        <v>188.957090909091</v>
      </c>
      <c r="I23" s="15" t="n">
        <f aca="false">B23/SUM(Data_State!$B$2:$B$28)</f>
        <v>0.00290288681784841</v>
      </c>
      <c r="J23" s="1" t="n">
        <f aca="false">RANK(B23,Data_State!$B$2:$B$28)</f>
        <v>22</v>
      </c>
    </row>
    <row r="24" customFormat="false" ht="15" hidden="false" customHeight="true" outlineLevel="0" collapsed="false">
      <c r="A24" s="1" t="str">
        <f aca="false">INDEX(Data_State!$A$2:$A$28,MATCH(B24,Data_State!$B$2:$B$28,0))</f>
        <v>TO</v>
      </c>
      <c r="B24" s="11" t="n">
        <f aca="false">LARGE(Data_State!$B$2:$B$28,23)</f>
        <v>51378.34</v>
      </c>
      <c r="C24" s="12" t="n">
        <f aca="false">INDEX(Data_State!$C$2:$C$28,MATCH($A24,Data_State!$A$2:$A$28,0))</f>
        <v>267</v>
      </c>
      <c r="D24" s="12" t="n">
        <f aca="false">INDEX(Data_State!$D$2:$D$28,MATCH($A24,Data_State!$A$2:$A$28,0))</f>
        <v>267</v>
      </c>
      <c r="E24" s="11" t="n">
        <f aca="false">INDEX(Data_State!$E$2:$E$28,MATCH($A24,Data_State!$A$2:$A$28,0))</f>
        <v>11.4253246753247</v>
      </c>
      <c r="F24" s="13" t="n">
        <f aca="false">INDEX(Data_State!$F$2:$F$28,MATCH($A24,Data_State!$A$2:$A$28,0))</f>
        <v>0.246753246753247</v>
      </c>
      <c r="G24" s="11" t="n">
        <f aca="false">INDEX(Data_State!$G$2:$G$28,MATCH($A24,Data_State!$A$2:$A$28,0))</f>
        <v>3.92532467532468</v>
      </c>
      <c r="H24" s="11" t="n">
        <f aca="false">INDEX(Data_State!$H$2:$H$28,MATCH($A24,Data_State!$A$2:$A$28,0))</f>
        <v>192.428239700375</v>
      </c>
      <c r="I24" s="15" t="n">
        <f aca="false">B24/SUM(Data_State!$B$2:$B$28)</f>
        <v>0.00287021403433456</v>
      </c>
      <c r="J24" s="1" t="n">
        <f aca="false">RANK(B24,Data_State!$B$2:$B$28)</f>
        <v>23</v>
      </c>
    </row>
    <row r="25" customFormat="false" ht="15" hidden="false" customHeight="true" outlineLevel="0" collapsed="false">
      <c r="A25" s="1" t="str">
        <f aca="false">INDEX(Data_State!$A$2:$A$28,MATCH(B25,Data_State!$B$2:$B$28,0))</f>
        <v>AM</v>
      </c>
      <c r="B25" s="11" t="n">
        <f aca="false">LARGE(Data_State!$B$2:$B$28,24)</f>
        <v>32900.88</v>
      </c>
      <c r="C25" s="12" t="n">
        <f aca="false">INDEX(Data_State!$C$2:$C$28,MATCH($A25,Data_State!$A$2:$A$28,0))</f>
        <v>169</v>
      </c>
      <c r="D25" s="12" t="n">
        <f aca="false">INDEX(Data_State!$D$2:$D$28,MATCH($A25,Data_State!$A$2:$A$28,0))</f>
        <v>169</v>
      </c>
      <c r="E25" s="11" t="n">
        <f aca="false">INDEX(Data_State!$E$2:$E$28,MATCH($A25,Data_State!$A$2:$A$28,0))</f>
        <v>11.7357512953368</v>
      </c>
      <c r="F25" s="13" t="n">
        <f aca="false">INDEX(Data_State!$F$2:$F$28,MATCH($A25,Data_State!$A$2:$A$28,0))</f>
        <v>0.269430051813472</v>
      </c>
      <c r="G25" s="11" t="n">
        <f aca="false">INDEX(Data_State!$G$2:$G$28,MATCH($A25,Data_State!$A$2:$A$28,0))</f>
        <v>3.80829015544042</v>
      </c>
      <c r="H25" s="11" t="n">
        <f aca="false">INDEX(Data_State!$H$2:$H$28,MATCH($A25,Data_State!$A$2:$A$28,0))</f>
        <v>194.679763313609</v>
      </c>
      <c r="I25" s="15" t="n">
        <f aca="false">B25/SUM(Data_State!$B$2:$B$28)</f>
        <v>0.00183798401267844</v>
      </c>
      <c r="J25" s="1" t="n">
        <f aca="false">RANK(B25,Data_State!$B$2:$B$28)</f>
        <v>24</v>
      </c>
    </row>
    <row r="26" customFormat="false" ht="15" hidden="false" customHeight="true" outlineLevel="0" collapsed="false">
      <c r="A26" s="1" t="str">
        <f aca="false">INDEX(Data_State!$A$2:$A$28,MATCH(B26,Data_State!$B$2:$B$28,0))</f>
        <v>AC</v>
      </c>
      <c r="B26" s="11" t="n">
        <f aca="false">LARGE(Data_State!$B$2:$B$28,25)</f>
        <v>18923.76</v>
      </c>
      <c r="C26" s="12" t="n">
        <f aca="false">INDEX(Data_State!$C$2:$C$28,MATCH($A26,Data_State!$A$2:$A$28,0))</f>
        <v>92</v>
      </c>
      <c r="D26" s="12" t="n">
        <f aca="false">INDEX(Data_State!$D$2:$D$28,MATCH($A26,Data_State!$A$2:$A$28,0))</f>
        <v>92</v>
      </c>
      <c r="E26" s="11" t="n">
        <f aca="false">INDEX(Data_State!$E$2:$E$28,MATCH($A26,Data_State!$A$2:$A$28,0))</f>
        <v>12.252427184466</v>
      </c>
      <c r="F26" s="13" t="n">
        <f aca="false">INDEX(Data_State!$F$2:$F$28,MATCH($A26,Data_State!$A$2:$A$28,0))</f>
        <v>0.233009708737864</v>
      </c>
      <c r="G26" s="11" t="n">
        <f aca="false">INDEX(Data_State!$G$2:$G$28,MATCH($A26,Data_State!$A$2:$A$28,0))</f>
        <v>3.58252427184466</v>
      </c>
      <c r="H26" s="11" t="n">
        <f aca="false">INDEX(Data_State!$H$2:$H$28,MATCH($A26,Data_State!$A$2:$A$28,0))</f>
        <v>205.693043478261</v>
      </c>
      <c r="I26" s="15" t="n">
        <f aca="false">B26/SUM(Data_State!$B$2:$B$28)</f>
        <v>0.00105716225036424</v>
      </c>
      <c r="J26" s="1" t="n">
        <f aca="false">RANK(B26,Data_State!$B$2:$B$28)</f>
        <v>25</v>
      </c>
    </row>
    <row r="27" customFormat="false" ht="15" hidden="false" customHeight="true" outlineLevel="0" collapsed="false">
      <c r="A27" s="1" t="str">
        <f aca="false">INDEX(Data_State!$A$2:$A$28,MATCH(B27,Data_State!$B$2:$B$28,0))</f>
        <v>AP</v>
      </c>
      <c r="B27" s="11" t="n">
        <f aca="false">LARGE(Data_State!$B$2:$B$28,26)</f>
        <v>16449.27</v>
      </c>
      <c r="C27" s="12" t="n">
        <f aca="false">INDEX(Data_State!$C$2:$C$28,MATCH($A27,Data_State!$A$2:$A$28,0))</f>
        <v>90</v>
      </c>
      <c r="D27" s="12" t="n">
        <f aca="false">INDEX(Data_State!$D$2:$D$28,MATCH($A27,Data_State!$A$2:$A$28,0))</f>
        <v>90</v>
      </c>
      <c r="E27" s="11" t="n">
        <f aca="false">INDEX(Data_State!$E$2:$E$28,MATCH($A27,Data_State!$A$2:$A$28,0))</f>
        <v>11.7171717171717</v>
      </c>
      <c r="F27" s="13" t="n">
        <f aca="false">INDEX(Data_State!$F$2:$F$28,MATCH($A27,Data_State!$A$2:$A$28,0))</f>
        <v>0.262626262626263</v>
      </c>
      <c r="G27" s="11" t="n">
        <f aca="false">INDEX(Data_State!$G$2:$G$28,MATCH($A27,Data_State!$A$2:$A$28,0))</f>
        <v>3.46464646464647</v>
      </c>
      <c r="H27" s="11" t="n">
        <f aca="false">INDEX(Data_State!$H$2:$H$28,MATCH($A27,Data_State!$A$2:$A$28,0))</f>
        <v>182.769666666667</v>
      </c>
      <c r="I27" s="15" t="n">
        <f aca="false">B27/SUM(Data_State!$B$2:$B$28)</f>
        <v>0.000918926645130193</v>
      </c>
      <c r="J27" s="1" t="n">
        <f aca="false">RANK(B27,Data_State!$B$2:$B$28)</f>
        <v>26</v>
      </c>
    </row>
    <row r="28" customFormat="false" ht="15" hidden="false" customHeight="true" outlineLevel="0" collapsed="false">
      <c r="A28" s="1" t="str">
        <f aca="false">INDEX(Data_State!$A$2:$A$28,MATCH(B28,Data_State!$B$2:$B$28,0))</f>
        <v>RR</v>
      </c>
      <c r="B28" s="11" t="n">
        <f aca="false">LARGE(Data_State!$B$2:$B$28,27)</f>
        <v>11016.49</v>
      </c>
      <c r="C28" s="12" t="n">
        <f aca="false">INDEX(Data_State!$C$2:$C$28,MATCH($A28,Data_State!$A$2:$A$28,0))</f>
        <v>52</v>
      </c>
      <c r="D28" s="12" t="n">
        <f aca="false">INDEX(Data_State!$D$2:$D$28,MATCH($A28,Data_State!$A$2:$A$28,0))</f>
        <v>52</v>
      </c>
      <c r="E28" s="11" t="n">
        <f aca="false">INDEX(Data_State!$E$2:$E$28,MATCH($A28,Data_State!$A$2:$A$28,0))</f>
        <v>11.2786885245902</v>
      </c>
      <c r="F28" s="13" t="n">
        <f aca="false">INDEX(Data_State!$F$2:$F$28,MATCH($A28,Data_State!$A$2:$A$28,0))</f>
        <v>0.229508196721311</v>
      </c>
      <c r="G28" s="11" t="n">
        <f aca="false">INDEX(Data_State!$G$2:$G$28,MATCH($A28,Data_State!$A$2:$A$28,0))</f>
        <v>3.80327868852459</v>
      </c>
      <c r="H28" s="11" t="n">
        <f aca="false">INDEX(Data_State!$H$2:$H$28,MATCH($A28,Data_State!$A$2:$A$28,0))</f>
        <v>211.855576923077</v>
      </c>
      <c r="I28" s="15" t="n">
        <f aca="false">B28/SUM(Data_State!$B$2:$B$28)</f>
        <v>0.000615428295408266</v>
      </c>
      <c r="J28" s="1" t="n">
        <f aca="false">RANK(B28,Data_State!$B$2:$B$28)</f>
        <v>27</v>
      </c>
    </row>
    <row r="29" customFormat="false" ht="15" hidden="false" customHeight="true" outlineLevel="0" collapsed="false">
      <c r="B29" s="11"/>
      <c r="C29" s="12"/>
      <c r="D29" s="12"/>
      <c r="E29" s="11"/>
      <c r="F29" s="13"/>
      <c r="G29" s="11"/>
      <c r="H29" s="11"/>
    </row>
    <row r="30" customFormat="false" ht="15" hidden="false" customHeight="true" outlineLevel="0" collapsed="false">
      <c r="A30" s="16" t="s">
        <v>37</v>
      </c>
      <c r="B30" s="11"/>
      <c r="C30" s="12"/>
      <c r="D30" s="12"/>
      <c r="E30" s="11"/>
      <c r="F30" s="13"/>
      <c r="G30" s="11"/>
      <c r="H30" s="11"/>
    </row>
    <row r="31" customFormat="false" ht="15" hidden="false" customHeight="true" outlineLevel="0" collapsed="false">
      <c r="B31" s="11"/>
      <c r="C31" s="12"/>
      <c r="D31" s="12"/>
      <c r="E31" s="11"/>
      <c r="F31" s="13"/>
      <c r="G31" s="11"/>
      <c r="H31" s="11"/>
    </row>
    <row r="32" customFormat="false" ht="15" hidden="false" customHeight="true" outlineLevel="0" collapsed="false">
      <c r="B32" s="11"/>
      <c r="C32" s="12"/>
      <c r="D32" s="12"/>
      <c r="E32" s="11"/>
      <c r="F32" s="13"/>
      <c r="G32" s="11"/>
      <c r="H32" s="11"/>
    </row>
    <row r="33" customFormat="false" ht="15" hidden="false" customHeight="true" outlineLevel="0" collapsed="false">
      <c r="B33" s="11"/>
      <c r="C33" s="12"/>
      <c r="D33" s="12"/>
      <c r="E33" s="11"/>
      <c r="F33" s="13"/>
      <c r="G33" s="11"/>
      <c r="H33" s="11"/>
    </row>
    <row r="34" customFormat="false" ht="15" hidden="false" customHeight="true" outlineLevel="0" collapsed="false">
      <c r="B34" s="11"/>
      <c r="C34" s="12"/>
      <c r="D34" s="12"/>
      <c r="E34" s="11"/>
      <c r="F34" s="13"/>
      <c r="G34" s="11"/>
      <c r="H34" s="11"/>
    </row>
    <row r="35" customFormat="false" ht="15" hidden="false" customHeight="true" outlineLevel="0" collapsed="false">
      <c r="B35" s="11"/>
      <c r="C35" s="12"/>
      <c r="D35" s="12"/>
      <c r="E35" s="11"/>
      <c r="F35" s="13"/>
      <c r="G35" s="11"/>
      <c r="H35" s="11"/>
    </row>
    <row r="36" customFormat="false" ht="15" hidden="false" customHeight="true" outlineLevel="0" collapsed="false">
      <c r="B36" s="11"/>
      <c r="C36" s="12"/>
      <c r="D36" s="12"/>
      <c r="E36" s="11"/>
      <c r="F36" s="13"/>
      <c r="G36" s="11"/>
      <c r="H36" s="11"/>
    </row>
    <row r="37" customFormat="false" ht="15" hidden="false" customHeight="true" outlineLevel="0" collapsed="false">
      <c r="B37" s="11"/>
      <c r="C37" s="12"/>
      <c r="D37" s="12"/>
      <c r="E37" s="11"/>
      <c r="F37" s="13"/>
      <c r="G37" s="11"/>
      <c r="H37" s="11"/>
    </row>
    <row r="38" customFormat="false" ht="15" hidden="false" customHeight="true" outlineLevel="0" collapsed="false">
      <c r="B38" s="11"/>
      <c r="C38" s="12"/>
      <c r="D38" s="12"/>
      <c r="E38" s="11"/>
      <c r="F38" s="13"/>
      <c r="G38" s="11"/>
      <c r="H38" s="11"/>
    </row>
    <row r="39" customFormat="false" ht="15" hidden="false" customHeight="true" outlineLevel="0" collapsed="false">
      <c r="B39" s="11"/>
      <c r="C39" s="12"/>
      <c r="D39" s="12"/>
      <c r="E39" s="11"/>
      <c r="F39" s="13"/>
      <c r="G39" s="11"/>
      <c r="H39" s="11"/>
    </row>
    <row r="40" customFormat="false" ht="15" hidden="false" customHeight="true" outlineLevel="0" collapsed="false">
      <c r="B40" s="11"/>
      <c r="C40" s="12"/>
      <c r="D40" s="12"/>
      <c r="E40" s="11"/>
      <c r="F40" s="13"/>
      <c r="G40" s="11"/>
      <c r="H40" s="11"/>
    </row>
    <row r="41" customFormat="false" ht="15" hidden="false" customHeight="true" outlineLevel="0" collapsed="false">
      <c r="B41" s="11"/>
      <c r="C41" s="12"/>
      <c r="D41" s="12"/>
      <c r="E41" s="11"/>
      <c r="F41" s="13"/>
      <c r="G41" s="11"/>
      <c r="H41" s="11"/>
    </row>
    <row r="42" customFormat="false" ht="15" hidden="false" customHeight="true" outlineLevel="0" collapsed="false">
      <c r="B42" s="11"/>
      <c r="C42" s="12"/>
      <c r="D42" s="12"/>
      <c r="E42" s="11"/>
      <c r="F42" s="13"/>
      <c r="G42" s="11"/>
      <c r="H42" s="11"/>
    </row>
    <row r="43" customFormat="false" ht="15" hidden="false" customHeight="true" outlineLevel="0" collapsed="false">
      <c r="B43" s="11"/>
      <c r="C43" s="12"/>
      <c r="D43" s="12"/>
      <c r="E43" s="11"/>
      <c r="F43" s="13"/>
      <c r="G43" s="11"/>
      <c r="H43" s="11"/>
    </row>
    <row r="44" customFormat="false" ht="15" hidden="false" customHeight="true" outlineLevel="0" collapsed="false">
      <c r="B44" s="11"/>
      <c r="C44" s="12"/>
      <c r="D44" s="12"/>
      <c r="E44" s="11"/>
      <c r="F44" s="13"/>
      <c r="G44" s="11"/>
      <c r="H44" s="11"/>
    </row>
    <row r="45" customFormat="false" ht="15" hidden="false" customHeight="true" outlineLevel="0" collapsed="false">
      <c r="B45" s="11"/>
      <c r="C45" s="12"/>
      <c r="D45" s="12"/>
      <c r="E45" s="11"/>
      <c r="F45" s="13"/>
      <c r="G45" s="11"/>
      <c r="H45" s="11"/>
    </row>
    <row r="46" customFormat="false" ht="15" hidden="false" customHeight="true" outlineLevel="0" collapsed="false">
      <c r="B46" s="11"/>
      <c r="C46" s="12"/>
      <c r="D46" s="12"/>
      <c r="E46" s="11"/>
      <c r="F46" s="13"/>
      <c r="G46" s="11"/>
      <c r="H46" s="11"/>
    </row>
    <row r="47" customFormat="false" ht="15" hidden="false" customHeight="true" outlineLevel="0" collapsed="false">
      <c r="B47" s="11"/>
      <c r="C47" s="12"/>
      <c r="D47" s="12"/>
      <c r="E47" s="11"/>
      <c r="F47" s="13"/>
      <c r="G47" s="11"/>
      <c r="H47" s="11"/>
    </row>
    <row r="48" customFormat="false" ht="15" hidden="false" customHeight="true" outlineLevel="0" collapsed="false">
      <c r="B48" s="11"/>
      <c r="C48" s="12"/>
      <c r="D48" s="12"/>
      <c r="E48" s="11"/>
      <c r="F48" s="13"/>
      <c r="G48" s="11"/>
      <c r="H48" s="11"/>
    </row>
    <row r="49" customFormat="false" ht="15" hidden="false" customHeight="true" outlineLevel="0" collapsed="false">
      <c r="B49" s="11"/>
      <c r="C49" s="12"/>
      <c r="D49" s="12"/>
      <c r="E49" s="11"/>
      <c r="F49" s="13"/>
      <c r="G49" s="11"/>
      <c r="H49" s="11"/>
    </row>
    <row r="50" customFormat="false" ht="15" hidden="false" customHeight="true" outlineLevel="0" collapsed="false">
      <c r="B50" s="11"/>
      <c r="C50" s="12"/>
      <c r="D50" s="12"/>
      <c r="E50" s="11"/>
      <c r="F50" s="13"/>
      <c r="G50" s="11"/>
      <c r="H50" s="11"/>
    </row>
    <row r="51" customFormat="false" ht="15" hidden="false" customHeight="true" outlineLevel="0" collapsed="false">
      <c r="B51" s="11"/>
      <c r="C51" s="12"/>
      <c r="D51" s="12"/>
      <c r="E51" s="11"/>
      <c r="F51" s="13"/>
      <c r="G51" s="11"/>
      <c r="H51" s="11"/>
    </row>
    <row r="52" customFormat="false" ht="15" hidden="false" customHeight="true" outlineLevel="0" collapsed="false">
      <c r="B52" s="11"/>
      <c r="C52" s="12"/>
      <c r="D52" s="12"/>
      <c r="E52" s="11"/>
      <c r="F52" s="13"/>
      <c r="G52" s="11"/>
      <c r="H52" s="11"/>
    </row>
    <row r="53" customFormat="false" ht="15" hidden="false" customHeight="true" outlineLevel="0" collapsed="false">
      <c r="B53" s="11"/>
      <c r="C53" s="12"/>
      <c r="D53" s="12"/>
      <c r="E53" s="11"/>
      <c r="F53" s="13"/>
      <c r="G53" s="11"/>
      <c r="H53" s="11"/>
    </row>
    <row r="54" customFormat="false" ht="15" hidden="false" customHeight="true" outlineLevel="0" collapsed="false">
      <c r="B54" s="11"/>
      <c r="C54" s="12"/>
      <c r="D54" s="12"/>
      <c r="E54" s="11"/>
      <c r="F54" s="13"/>
      <c r="G54" s="11"/>
      <c r="H54" s="11"/>
    </row>
    <row r="55" customFormat="false" ht="15" hidden="false" customHeight="true" outlineLevel="0" collapsed="false">
      <c r="B55" s="11"/>
      <c r="C55" s="12"/>
      <c r="D55" s="12"/>
      <c r="E55" s="11"/>
      <c r="F55" s="13"/>
      <c r="G55" s="11"/>
      <c r="H55" s="11"/>
    </row>
    <row r="56" customFormat="false" ht="15" hidden="false" customHeight="true" outlineLevel="0" collapsed="false">
      <c r="B56" s="11"/>
      <c r="C56" s="12"/>
      <c r="D56" s="12"/>
      <c r="E56" s="11"/>
      <c r="F56" s="13"/>
      <c r="G56" s="11"/>
      <c r="H56" s="11"/>
    </row>
    <row r="57" customFormat="false" ht="15" hidden="false" customHeight="true" outlineLevel="0" collapsed="false">
      <c r="B57" s="11"/>
      <c r="C57" s="12"/>
      <c r="D57" s="12"/>
      <c r="E57" s="11"/>
      <c r="F57" s="13"/>
      <c r="G57" s="11"/>
      <c r="H57" s="11"/>
    </row>
    <row r="58" customFormat="false" ht="15" hidden="false" customHeight="true" outlineLevel="0" collapsed="false">
      <c r="B58" s="11"/>
      <c r="C58" s="12"/>
      <c r="D58" s="12"/>
      <c r="E58" s="11"/>
      <c r="F58" s="13"/>
      <c r="G58" s="11"/>
      <c r="H58" s="11"/>
    </row>
    <row r="59" customFormat="false" ht="15" hidden="false" customHeight="true" outlineLevel="0" collapsed="false">
      <c r="B59" s="11"/>
      <c r="C59" s="12"/>
      <c r="D59" s="12"/>
      <c r="E59" s="11"/>
      <c r="F59" s="13"/>
      <c r="G59" s="11"/>
      <c r="H59" s="11"/>
    </row>
    <row r="60" customFormat="false" ht="15" hidden="false" customHeight="true" outlineLevel="0" collapsed="false">
      <c r="B60" s="11"/>
      <c r="C60" s="12"/>
      <c r="D60" s="12"/>
      <c r="E60" s="11"/>
      <c r="F60" s="13"/>
      <c r="G60" s="11"/>
      <c r="H60" s="11"/>
    </row>
    <row r="61" customFormat="false" ht="15" hidden="false" customHeight="true" outlineLevel="0" collapsed="false">
      <c r="B61" s="11"/>
      <c r="C61" s="12"/>
      <c r="D61" s="12"/>
      <c r="E61" s="11"/>
      <c r="F61" s="13"/>
      <c r="G61" s="11"/>
      <c r="H61" s="11"/>
    </row>
    <row r="62" customFormat="false" ht="15" hidden="false" customHeight="true" outlineLevel="0" collapsed="false">
      <c r="B62" s="11"/>
      <c r="C62" s="12"/>
      <c r="D62" s="12"/>
      <c r="E62" s="11"/>
      <c r="F62" s="13"/>
      <c r="G62" s="11"/>
      <c r="H62" s="11"/>
    </row>
    <row r="63" customFormat="false" ht="15" hidden="false" customHeight="true" outlineLevel="0" collapsed="false">
      <c r="B63" s="11"/>
      <c r="C63" s="12"/>
      <c r="D63" s="12"/>
      <c r="E63" s="11"/>
      <c r="F63" s="13"/>
      <c r="G63" s="11"/>
      <c r="H63" s="11"/>
    </row>
    <row r="64" customFormat="false" ht="15" hidden="false" customHeight="true" outlineLevel="0" collapsed="false">
      <c r="B64" s="11"/>
      <c r="C64" s="12"/>
      <c r="D64" s="12"/>
      <c r="E64" s="11"/>
      <c r="F64" s="13"/>
      <c r="G64" s="11"/>
      <c r="H64" s="11"/>
    </row>
    <row r="65" customFormat="false" ht="15" hidden="false" customHeight="true" outlineLevel="0" collapsed="false">
      <c r="B65" s="11"/>
      <c r="C65" s="12"/>
      <c r="D65" s="12"/>
      <c r="E65" s="11"/>
      <c r="F65" s="13"/>
      <c r="G65" s="11"/>
      <c r="H65" s="11"/>
    </row>
    <row r="66" customFormat="false" ht="15" hidden="false" customHeight="true" outlineLevel="0" collapsed="false">
      <c r="B66" s="11"/>
      <c r="C66" s="12"/>
      <c r="D66" s="12"/>
      <c r="E66" s="11"/>
      <c r="F66" s="13"/>
      <c r="G66" s="11"/>
      <c r="H66" s="11"/>
    </row>
    <row r="67" customFormat="false" ht="15" hidden="false" customHeight="true" outlineLevel="0" collapsed="false">
      <c r="B67" s="11"/>
      <c r="C67" s="12"/>
      <c r="D67" s="12"/>
      <c r="E67" s="11"/>
      <c r="F67" s="13"/>
      <c r="G67" s="11"/>
      <c r="H67" s="11"/>
    </row>
    <row r="68" customFormat="false" ht="15" hidden="false" customHeight="true" outlineLevel="0" collapsed="false">
      <c r="B68" s="11"/>
      <c r="C68" s="12"/>
      <c r="D68" s="12"/>
      <c r="E68" s="11"/>
      <c r="F68" s="13"/>
      <c r="G68" s="11"/>
      <c r="H68" s="11"/>
    </row>
    <row r="69" customFormat="false" ht="15" hidden="false" customHeight="true" outlineLevel="0" collapsed="false">
      <c r="B69" s="11"/>
      <c r="C69" s="12"/>
      <c r="D69" s="12"/>
      <c r="E69" s="11"/>
      <c r="F69" s="13"/>
      <c r="G69" s="11"/>
      <c r="H69" s="11"/>
    </row>
    <row r="70" customFormat="false" ht="15" hidden="false" customHeight="true" outlineLevel="0" collapsed="false">
      <c r="B70" s="11"/>
      <c r="C70" s="12"/>
      <c r="D70" s="12"/>
      <c r="E70" s="11"/>
      <c r="F70" s="13"/>
      <c r="G70" s="11"/>
      <c r="H70" s="11"/>
    </row>
    <row r="71" customFormat="false" ht="15" hidden="false" customHeight="true" outlineLevel="0" collapsed="false">
      <c r="B71" s="11"/>
      <c r="C71" s="12"/>
      <c r="D71" s="12"/>
      <c r="E71" s="11"/>
      <c r="F71" s="13"/>
      <c r="G71" s="11"/>
      <c r="H71" s="11"/>
    </row>
    <row r="72" customFormat="false" ht="15" hidden="false" customHeight="true" outlineLevel="0" collapsed="false">
      <c r="B72" s="11"/>
      <c r="C72" s="12"/>
      <c r="D72" s="12"/>
      <c r="E72" s="11"/>
      <c r="F72" s="13"/>
      <c r="G72" s="11"/>
      <c r="H72" s="11"/>
    </row>
    <row r="73" customFormat="false" ht="15" hidden="false" customHeight="true" outlineLevel="0" collapsed="false">
      <c r="B73" s="11"/>
      <c r="C73" s="12"/>
      <c r="D73" s="12"/>
      <c r="E73" s="11"/>
      <c r="F73" s="13"/>
      <c r="G73" s="11"/>
      <c r="H73" s="11"/>
    </row>
    <row r="74" customFormat="false" ht="15" hidden="false" customHeight="true" outlineLevel="0" collapsed="false">
      <c r="B74" s="11"/>
      <c r="C74" s="12"/>
      <c r="D74" s="12"/>
      <c r="E74" s="11"/>
      <c r="F74" s="13"/>
      <c r="G74" s="11"/>
      <c r="H74" s="11"/>
    </row>
    <row r="75" customFormat="false" ht="15" hidden="false" customHeight="true" outlineLevel="0" collapsed="false">
      <c r="B75" s="11"/>
      <c r="C75" s="12"/>
      <c r="D75" s="12"/>
      <c r="E75" s="11"/>
      <c r="F75" s="13"/>
      <c r="G75" s="11"/>
      <c r="H75" s="11"/>
    </row>
    <row r="76" customFormat="false" ht="15" hidden="false" customHeight="true" outlineLevel="0" collapsed="false">
      <c r="B76" s="11"/>
      <c r="C76" s="12"/>
      <c r="D76" s="12"/>
      <c r="E76" s="11"/>
      <c r="F76" s="13"/>
      <c r="G76" s="11"/>
      <c r="H76" s="11"/>
    </row>
    <row r="77" customFormat="false" ht="15" hidden="false" customHeight="true" outlineLevel="0" collapsed="false">
      <c r="B77" s="11"/>
      <c r="C77" s="12"/>
      <c r="D77" s="12"/>
      <c r="E77" s="11"/>
      <c r="F77" s="13"/>
      <c r="G77" s="11"/>
      <c r="H77" s="11"/>
    </row>
    <row r="78" customFormat="false" ht="15" hidden="false" customHeight="true" outlineLevel="0" collapsed="false">
      <c r="B78" s="11"/>
      <c r="C78" s="12"/>
      <c r="D78" s="12"/>
      <c r="E78" s="11"/>
      <c r="F78" s="13"/>
      <c r="G78" s="11"/>
      <c r="H78" s="11"/>
    </row>
    <row r="79" customFormat="false" ht="15" hidden="false" customHeight="true" outlineLevel="0" collapsed="false">
      <c r="B79" s="11"/>
      <c r="C79" s="12"/>
      <c r="D79" s="12"/>
      <c r="E79" s="11"/>
      <c r="F79" s="13"/>
      <c r="G79" s="11"/>
      <c r="H79" s="11"/>
    </row>
    <row r="80" customFormat="false" ht="15" hidden="false" customHeight="true" outlineLevel="0" collapsed="false">
      <c r="B80" s="11"/>
      <c r="C80" s="12"/>
      <c r="D80" s="12"/>
      <c r="E80" s="11"/>
      <c r="F80" s="13"/>
      <c r="G80" s="11"/>
      <c r="H80" s="11"/>
    </row>
    <row r="81" customFormat="false" ht="15" hidden="false" customHeight="true" outlineLevel="0" collapsed="false">
      <c r="B81" s="11"/>
      <c r="C81" s="12"/>
      <c r="D81" s="12"/>
      <c r="E81" s="11"/>
      <c r="F81" s="13"/>
      <c r="G81" s="11"/>
      <c r="H81" s="11"/>
    </row>
    <row r="82" customFormat="false" ht="15" hidden="false" customHeight="true" outlineLevel="0" collapsed="false">
      <c r="B82" s="11"/>
      <c r="C82" s="12"/>
      <c r="D82" s="12"/>
      <c r="E82" s="11"/>
      <c r="F82" s="13"/>
      <c r="G82" s="11"/>
      <c r="H82" s="11"/>
    </row>
    <row r="83" customFormat="false" ht="15" hidden="false" customHeight="true" outlineLevel="0" collapsed="false">
      <c r="B83" s="11"/>
      <c r="C83" s="12"/>
      <c r="D83" s="12"/>
      <c r="E83" s="11"/>
      <c r="F83" s="13"/>
      <c r="G83" s="11"/>
      <c r="H83" s="11"/>
    </row>
    <row r="84" customFormat="false" ht="15" hidden="false" customHeight="true" outlineLevel="0" collapsed="false">
      <c r="B84" s="11"/>
      <c r="C84" s="12"/>
      <c r="D84" s="12"/>
      <c r="E84" s="11"/>
      <c r="F84" s="13"/>
      <c r="G84" s="11"/>
      <c r="H84" s="11"/>
    </row>
    <row r="85" customFormat="false" ht="15" hidden="false" customHeight="true" outlineLevel="0" collapsed="false">
      <c r="B85" s="11"/>
      <c r="C85" s="12"/>
      <c r="D85" s="12"/>
      <c r="E85" s="11"/>
      <c r="F85" s="13"/>
      <c r="G85" s="11"/>
      <c r="H85" s="11"/>
    </row>
    <row r="86" customFormat="false" ht="15" hidden="false" customHeight="true" outlineLevel="0" collapsed="false">
      <c r="B86" s="11"/>
      <c r="C86" s="12"/>
      <c r="D86" s="12"/>
      <c r="E86" s="11"/>
      <c r="F86" s="13"/>
      <c r="G86" s="11"/>
      <c r="H86" s="11"/>
    </row>
    <row r="87" customFormat="false" ht="15" hidden="false" customHeight="true" outlineLevel="0" collapsed="false">
      <c r="B87" s="11"/>
      <c r="C87" s="12"/>
      <c r="D87" s="12"/>
      <c r="E87" s="11"/>
      <c r="F87" s="13"/>
      <c r="G87" s="11"/>
      <c r="H87" s="11"/>
    </row>
    <row r="88" customFormat="false" ht="15" hidden="false" customHeight="true" outlineLevel="0" collapsed="false">
      <c r="B88" s="11"/>
      <c r="C88" s="12"/>
      <c r="D88" s="12"/>
      <c r="E88" s="11"/>
      <c r="F88" s="13"/>
      <c r="G88" s="11"/>
      <c r="H88" s="11"/>
    </row>
    <row r="89" customFormat="false" ht="15" hidden="false" customHeight="true" outlineLevel="0" collapsed="false">
      <c r="B89" s="11"/>
      <c r="C89" s="12"/>
      <c r="D89" s="12"/>
      <c r="E89" s="11"/>
      <c r="F89" s="13"/>
      <c r="G89" s="11"/>
      <c r="H89" s="11"/>
    </row>
    <row r="90" customFormat="false" ht="15" hidden="false" customHeight="true" outlineLevel="0" collapsed="false">
      <c r="B90" s="11"/>
      <c r="C90" s="12"/>
      <c r="D90" s="12"/>
      <c r="E90" s="11"/>
      <c r="F90" s="13"/>
      <c r="G90" s="11"/>
      <c r="H90" s="11"/>
    </row>
    <row r="91" customFormat="false" ht="15" hidden="false" customHeight="true" outlineLevel="0" collapsed="false">
      <c r="B91" s="11"/>
      <c r="C91" s="12"/>
      <c r="D91" s="12"/>
      <c r="E91" s="11"/>
      <c r="F91" s="13"/>
      <c r="G91" s="11"/>
      <c r="H91" s="11"/>
    </row>
    <row r="92" customFormat="false" ht="15" hidden="false" customHeight="true" outlineLevel="0" collapsed="false">
      <c r="B92" s="11"/>
      <c r="C92" s="12"/>
      <c r="D92" s="12"/>
      <c r="E92" s="11"/>
      <c r="F92" s="13"/>
      <c r="G92" s="11"/>
      <c r="H92" s="11"/>
    </row>
    <row r="93" customFormat="false" ht="15" hidden="false" customHeight="true" outlineLevel="0" collapsed="false">
      <c r="B93" s="11"/>
      <c r="C93" s="12"/>
      <c r="D93" s="12"/>
      <c r="E93" s="11"/>
      <c r="F93" s="13"/>
      <c r="G93" s="11"/>
      <c r="H93" s="11"/>
    </row>
    <row r="94" customFormat="false" ht="15" hidden="false" customHeight="true" outlineLevel="0" collapsed="false">
      <c r="B94" s="11"/>
      <c r="C94" s="12"/>
      <c r="D94" s="12"/>
      <c r="E94" s="11"/>
      <c r="F94" s="13"/>
      <c r="G94" s="11"/>
      <c r="H94" s="11"/>
    </row>
    <row r="95" customFormat="false" ht="15" hidden="false" customHeight="true" outlineLevel="0" collapsed="false">
      <c r="B95" s="11"/>
      <c r="C95" s="12"/>
      <c r="D95" s="12"/>
      <c r="E95" s="11"/>
      <c r="F95" s="13"/>
      <c r="G95" s="11"/>
      <c r="H95" s="11"/>
    </row>
    <row r="96" customFormat="false" ht="15" hidden="false" customHeight="true" outlineLevel="0" collapsed="false">
      <c r="B96" s="11"/>
      <c r="C96" s="12"/>
      <c r="D96" s="12"/>
      <c r="E96" s="11"/>
      <c r="F96" s="13"/>
      <c r="G96" s="11"/>
      <c r="H96" s="11"/>
    </row>
    <row r="97" customFormat="false" ht="15" hidden="false" customHeight="true" outlineLevel="0" collapsed="false">
      <c r="B97" s="11"/>
      <c r="C97" s="12"/>
      <c r="D97" s="12"/>
      <c r="E97" s="11"/>
      <c r="F97" s="13"/>
      <c r="G97" s="11"/>
      <c r="H97" s="11"/>
    </row>
    <row r="98" customFormat="false" ht="15" hidden="false" customHeight="true" outlineLevel="0" collapsed="false">
      <c r="B98" s="11"/>
      <c r="C98" s="12"/>
      <c r="D98" s="12"/>
      <c r="E98" s="11"/>
      <c r="F98" s="13"/>
      <c r="G98" s="11"/>
      <c r="H98" s="11"/>
    </row>
    <row r="99" customFormat="false" ht="15" hidden="false" customHeight="true" outlineLevel="0" collapsed="false">
      <c r="B99" s="11"/>
      <c r="C99" s="12"/>
      <c r="D99" s="12"/>
      <c r="E99" s="11"/>
      <c r="F99" s="13"/>
      <c r="G99" s="11"/>
      <c r="H99" s="11"/>
    </row>
    <row r="100" customFormat="false" ht="15" hidden="false" customHeight="true" outlineLevel="0" collapsed="false">
      <c r="B100" s="11"/>
      <c r="C100" s="12"/>
      <c r="D100" s="12"/>
      <c r="E100" s="11"/>
      <c r="F100" s="13"/>
      <c r="G100" s="11"/>
      <c r="H100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46"/>
    <col collapsed="false" customWidth="true" hidden="false" outlineLevel="0" max="2" min="2" style="1" width="12.65"/>
    <col collapsed="false" customWidth="true" hidden="false" outlineLevel="0" max="3" min="3" style="1" width="17.63"/>
    <col collapsed="false" customWidth="true" hidden="false" outlineLevel="0" max="4" min="4" style="1" width="15.48"/>
    <col collapsed="false" customWidth="true" hidden="false" outlineLevel="0" max="5" min="5" style="1" width="17.5"/>
  </cols>
  <sheetData>
    <row r="1" customFormat="false" ht="15" hidden="false" customHeight="true" outlineLevel="0" collapsed="false">
      <c r="A1" s="9" t="s">
        <v>38</v>
      </c>
      <c r="B1" s="9" t="s">
        <v>20</v>
      </c>
      <c r="C1" s="9" t="s">
        <v>36</v>
      </c>
      <c r="D1" s="9" t="s">
        <v>39</v>
      </c>
      <c r="E1" s="9" t="s">
        <v>23</v>
      </c>
      <c r="F1" s="10" t="s">
        <v>40</v>
      </c>
    </row>
    <row r="2" customFormat="false" ht="15" hidden="false" customHeight="true" outlineLevel="0" collapsed="false">
      <c r="A2" s="1" t="n">
        <f aca="false">Data_ReviewDelivery!A2</f>
        <v>1</v>
      </c>
      <c r="B2" s="12" t="n">
        <f aca="false">Data_ReviewDelivery!B2</f>
        <v>8589</v>
      </c>
      <c r="C2" s="11" t="n">
        <f aca="false">Data_ReviewDelivery!C2</f>
        <v>9.52427523576668</v>
      </c>
      <c r="D2" s="11" t="n">
        <f aca="false">Data_ReviewDelivery!D2</f>
        <v>-1.2200488997555</v>
      </c>
      <c r="E2" s="13" t="n">
        <f aca="false">Data_ReviewDelivery!E2</f>
        <v>0.477820468040517</v>
      </c>
      <c r="F2" s="15" t="n">
        <f aca="false">B2/SUM(Data_ReviewDelivery!$B$2:$B$6)</f>
        <v>0.0889581671862539</v>
      </c>
    </row>
    <row r="3" customFormat="false" ht="15" hidden="false" customHeight="true" outlineLevel="0" collapsed="false">
      <c r="A3" s="1" t="n">
        <f aca="false">Data_ReviewDelivery!A3</f>
        <v>2</v>
      </c>
      <c r="B3" s="12" t="n">
        <f aca="false">Data_ReviewDelivery!B3</f>
        <v>7962</v>
      </c>
      <c r="C3" s="11" t="n">
        <f aca="false">Data_ReviewDelivery!C3</f>
        <v>9.74101984426024</v>
      </c>
      <c r="D3" s="11" t="n">
        <f aca="false">Data_ReviewDelivery!D3</f>
        <v>-0.779326802310977</v>
      </c>
      <c r="E3" s="13" t="n">
        <f aca="false">Data_ReviewDelivery!E3</f>
        <v>0.542200452147702</v>
      </c>
      <c r="F3" s="15" t="n">
        <f aca="false">B3/SUM(Data_ReviewDelivery!$B$2:$B$6)</f>
        <v>0.0824641899099958</v>
      </c>
    </row>
    <row r="4" customFormat="false" ht="15" hidden="false" customHeight="true" outlineLevel="0" collapsed="false">
      <c r="A4" s="1" t="n">
        <f aca="false">Data_ReviewDelivery!A4</f>
        <v>3</v>
      </c>
      <c r="B4" s="12" t="n">
        <f aca="false">Data_ReviewDelivery!B4</f>
        <v>15686</v>
      </c>
      <c r="C4" s="11" t="n">
        <f aca="false">Data_ReviewDelivery!C4</f>
        <v>9.54143822516894</v>
      </c>
      <c r="D4" s="11" t="n">
        <f aca="false">Data_ReviewDelivery!D4</f>
        <v>-0.835075863827617</v>
      </c>
      <c r="E4" s="13" t="n">
        <f aca="false">Data_ReviewDelivery!E4</f>
        <v>0.533278082366441</v>
      </c>
      <c r="F4" s="15" t="n">
        <f aca="false">B4/SUM(Data_ReviewDelivery!$B$2:$B$6)</f>
        <v>0.162463361332353</v>
      </c>
    </row>
    <row r="5" customFormat="false" ht="15" hidden="false" customHeight="true" outlineLevel="0" collapsed="false">
      <c r="A5" s="1" t="n">
        <f aca="false">Data_ReviewDelivery!A5</f>
        <v>4</v>
      </c>
      <c r="B5" s="12" t="n">
        <f aca="false">Data_ReviewDelivery!B5</f>
        <v>23047</v>
      </c>
      <c r="C5" s="11" t="n">
        <f aca="false">Data_ReviewDelivery!C5</f>
        <v>9.32633314531175</v>
      </c>
      <c r="D5" s="11" t="n">
        <f aca="false">Data_ReviewDelivery!D5</f>
        <v>-2.42964377142361</v>
      </c>
      <c r="E5" s="13" t="n">
        <f aca="false">Data_ReviewDelivery!E5</f>
        <v>0.284462185967805</v>
      </c>
      <c r="F5" s="15" t="n">
        <f aca="false">B5/SUM(Data_ReviewDelivery!$B$2:$B$6)</f>
        <v>0.238702861700034</v>
      </c>
    </row>
    <row r="6" customFormat="false" ht="15" hidden="false" customHeight="true" outlineLevel="0" collapsed="false">
      <c r="A6" s="1" t="n">
        <f aca="false">Data_ReviewDelivery!A6</f>
        <v>5</v>
      </c>
      <c r="B6" s="12" t="n">
        <f aca="false">Data_ReviewDelivery!B6</f>
        <v>41267</v>
      </c>
      <c r="C6" s="11" t="n">
        <f aca="false">Data_ReviewDelivery!C6</f>
        <v>8.70872610075848</v>
      </c>
      <c r="D6" s="11" t="n">
        <f aca="false">Data_ReviewDelivery!D6</f>
        <v>-4.28221096760123</v>
      </c>
      <c r="E6" s="13" t="n">
        <f aca="false">Data_ReviewDelivery!E6</f>
        <v>0</v>
      </c>
      <c r="F6" s="15" t="n">
        <f aca="false">B6/SUM(Data_ReviewDelivery!$B$2:$B$6)</f>
        <v>0.427411419871363</v>
      </c>
    </row>
    <row r="7" customFormat="false" ht="15" hidden="false" customHeight="true" outlineLevel="0" collapsed="false">
      <c r="B7" s="12"/>
      <c r="C7" s="11"/>
      <c r="D7" s="11"/>
      <c r="E7" s="13"/>
    </row>
    <row r="8" customFormat="false" ht="15" hidden="false" customHeight="true" outlineLevel="0" collapsed="false">
      <c r="A8" s="16" t="s">
        <v>41</v>
      </c>
      <c r="B8" s="12"/>
      <c r="C8" s="11"/>
      <c r="D8" s="11"/>
      <c r="E8" s="13"/>
    </row>
    <row r="9" customFormat="false" ht="15" hidden="false" customHeight="true" outlineLevel="0" collapsed="false">
      <c r="B9" s="12"/>
      <c r="C9" s="11"/>
      <c r="D9" s="11"/>
      <c r="E9" s="13"/>
    </row>
    <row r="10" customFormat="false" ht="15" hidden="false" customHeight="true" outlineLevel="0" collapsed="false">
      <c r="B10" s="12"/>
      <c r="C10" s="11"/>
      <c r="D10" s="11"/>
      <c r="E10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54"/>
    <col collapsed="false" customWidth="true" hidden="false" outlineLevel="0" max="2" min="2" style="1" width="12.65"/>
    <col collapsed="false" customWidth="true" hidden="false" outlineLevel="0" max="3" min="3" style="1" width="15.2"/>
    <col collapsed="false" customWidth="true" hidden="false" outlineLevel="0" max="4" min="4" style="1" width="13.59"/>
  </cols>
  <sheetData>
    <row r="1" customFormat="false" ht="15" hidden="false" customHeight="true" outlineLevel="0" collapsed="false">
      <c r="A1" s="9" t="s">
        <v>42</v>
      </c>
      <c r="B1" s="9" t="s">
        <v>20</v>
      </c>
      <c r="C1" s="9" t="s">
        <v>43</v>
      </c>
      <c r="D1" s="9" t="s">
        <v>44</v>
      </c>
      <c r="E1" s="10" t="s">
        <v>45</v>
      </c>
      <c r="F1" s="10" t="s">
        <v>32</v>
      </c>
    </row>
    <row r="2" customFormat="false" ht="15" hidden="false" customHeight="true" outlineLevel="0" collapsed="false">
      <c r="A2" s="1" t="str">
        <f aca="false">Data_Payment!A2</f>
        <v>credit_card</v>
      </c>
      <c r="B2" s="12" t="n">
        <f aca="false">Data_Payment!B2</f>
        <v>71384</v>
      </c>
      <c r="C2" s="11" t="n">
        <f aca="false">Data_Payment!C2</f>
        <v>13222320.57</v>
      </c>
      <c r="D2" s="11" t="n">
        <f aca="false">C2/B2</f>
        <v>185.228070295865</v>
      </c>
      <c r="E2" s="15" t="n">
        <f aca="false">B2/SUM(Data_Payment!$B$2:$B$5)</f>
        <v>0.739339830763017</v>
      </c>
      <c r="F2" s="15" t="n">
        <f aca="false">C2/SUM(Data_Payment!$C$2:$C$5)</f>
        <v>0.738655434692606</v>
      </c>
    </row>
    <row r="3" customFormat="false" ht="15" hidden="false" customHeight="true" outlineLevel="0" collapsed="false">
      <c r="A3" s="1" t="str">
        <f aca="false">Data_Payment!A3</f>
        <v>boleto</v>
      </c>
      <c r="B3" s="12" t="n">
        <f aca="false">Data_Payment!B3</f>
        <v>18438</v>
      </c>
      <c r="C3" s="11" t="n">
        <f aca="false">Data_Payment!C3</f>
        <v>3418278.44</v>
      </c>
      <c r="D3" s="11" t="n">
        <f aca="false">C3/B3</f>
        <v>185.393125067795</v>
      </c>
      <c r="E3" s="15" t="n">
        <f aca="false">B3/SUM(Data_Payment!$B$2:$B$5)</f>
        <v>0.190966432248242</v>
      </c>
      <c r="F3" s="15" t="n">
        <f aca="false">C3/SUM(Data_Payment!$C$2:$C$5)</f>
        <v>0.190959668057614</v>
      </c>
    </row>
    <row r="4" customFormat="false" ht="15" hidden="false" customHeight="true" outlineLevel="0" collapsed="false">
      <c r="A4" s="1" t="str">
        <f aca="false">Data_Payment!A4</f>
        <v>voucher</v>
      </c>
      <c r="B4" s="12" t="n">
        <f aca="false">Data_Payment!B4</f>
        <v>4352</v>
      </c>
      <c r="C4" s="11" t="n">
        <f aca="false">Data_Payment!C4</f>
        <v>817509.64</v>
      </c>
      <c r="D4" s="11" t="n">
        <f aca="false">C4/B4</f>
        <v>187.846884191176</v>
      </c>
      <c r="E4" s="15" t="n">
        <f aca="false">B4/SUM(Data_Payment!$B$2:$B$5)</f>
        <v>0.045074623773964</v>
      </c>
      <c r="F4" s="15" t="n">
        <f aca="false">C4/SUM(Data_Payment!$C$2:$C$5)</f>
        <v>0.0456695884283492</v>
      </c>
    </row>
    <row r="5" customFormat="false" ht="15" hidden="false" customHeight="true" outlineLevel="0" collapsed="false">
      <c r="A5" s="1" t="str">
        <f aca="false">Data_Payment!A5</f>
        <v>debit_card</v>
      </c>
      <c r="B5" s="12" t="n">
        <f aca="false">Data_Payment!B5</f>
        <v>2377</v>
      </c>
      <c r="C5" s="11" t="n">
        <f aca="false">Data_Payment!C5</f>
        <v>442417.02</v>
      </c>
      <c r="D5" s="11" t="n">
        <f aca="false">C5/B5</f>
        <v>186.124114429954</v>
      </c>
      <c r="E5" s="15" t="n">
        <f aca="false">B5/SUM(Data_Payment!$B$2:$B$5)</f>
        <v>0.0246191132147777</v>
      </c>
      <c r="F5" s="15" t="n">
        <f aca="false">C5/SUM(Data_Payment!$C$2:$C$5)</f>
        <v>0.0247153088214308</v>
      </c>
    </row>
    <row r="6" customFormat="false" ht="15" hidden="false" customHeight="true" outlineLevel="0" collapsed="false">
      <c r="B6" s="12"/>
      <c r="C6" s="11"/>
      <c r="D6" s="11"/>
    </row>
    <row r="7" customFormat="false" ht="15" hidden="false" customHeight="true" outlineLevel="0" collapsed="false">
      <c r="A7" s="16" t="s">
        <v>46</v>
      </c>
      <c r="B7" s="12"/>
      <c r="C7" s="11"/>
      <c r="D7" s="11"/>
    </row>
    <row r="8" customFormat="false" ht="15" hidden="false" customHeight="true" outlineLevel="0" collapsed="false">
      <c r="B8" s="12"/>
      <c r="C8" s="11"/>
      <c r="D8" s="11"/>
    </row>
    <row r="9" customFormat="false" ht="15" hidden="false" customHeight="true" outlineLevel="0" collapsed="false">
      <c r="B9" s="12"/>
      <c r="C9" s="11"/>
      <c r="D9" s="11"/>
    </row>
    <row r="10" customFormat="false" ht="15" hidden="false" customHeight="true" outlineLevel="0" collapsed="false">
      <c r="B10" s="12"/>
      <c r="C10" s="11"/>
      <c r="D10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.09"/>
    <col collapsed="false" customWidth="true" hidden="false" outlineLevel="0" max="2" min="2" style="1" width="123.55"/>
  </cols>
  <sheetData>
    <row r="1" customFormat="false" ht="15" hidden="false" customHeight="true" outlineLevel="0" collapsed="false">
      <c r="A1" s="7" t="s">
        <v>47</v>
      </c>
      <c r="B1" s="7" t="s">
        <v>48</v>
      </c>
    </row>
    <row r="2" customFormat="false" ht="15" hidden="false" customHeight="true" outlineLevel="0" collapsed="false">
      <c r="A2" s="1" t="s">
        <v>49</v>
      </c>
      <c r="B2" s="1" t="s">
        <v>50</v>
      </c>
    </row>
    <row r="3" customFormat="false" ht="15" hidden="false" customHeight="true" outlineLevel="0" collapsed="false">
      <c r="A3" s="1" t="s">
        <v>51</v>
      </c>
      <c r="B3" s="1" t="s">
        <v>52</v>
      </c>
    </row>
    <row r="4" customFormat="false" ht="15" hidden="false" customHeight="true" outlineLevel="0" collapsed="false">
      <c r="A4" s="1" t="s">
        <v>53</v>
      </c>
      <c r="B4" s="1" t="s">
        <v>54</v>
      </c>
    </row>
    <row r="5" customFormat="false" ht="15" hidden="false" customHeight="true" outlineLevel="0" collapsed="false">
      <c r="A5" s="1" t="s">
        <v>55</v>
      </c>
      <c r="B5" s="1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1"/>
    <col collapsed="false" customWidth="true" hidden="false" outlineLevel="0" max="6" min="2" style="1" width="14"/>
    <col collapsed="false" customWidth="true" hidden="false" outlineLevel="0" max="7" min="7" style="1" width="18"/>
    <col collapsed="false" customWidth="true" hidden="false" outlineLevel="0" max="8" min="8" style="1" width="20"/>
  </cols>
  <sheetData>
    <row r="1" customFormat="false" ht="15" hidden="false" customHeight="true" outlineLevel="0" collapsed="false">
      <c r="A1" s="10" t="s">
        <v>28</v>
      </c>
      <c r="B1" s="10" t="s">
        <v>19</v>
      </c>
      <c r="C1" s="10" t="s">
        <v>20</v>
      </c>
      <c r="D1" s="10" t="s">
        <v>29</v>
      </c>
      <c r="E1" s="10" t="s">
        <v>30</v>
      </c>
      <c r="F1" s="10" t="s">
        <v>31</v>
      </c>
      <c r="G1" s="10" t="s">
        <v>22</v>
      </c>
      <c r="H1" s="10" t="s">
        <v>23</v>
      </c>
    </row>
    <row r="2" customFormat="false" ht="15" hidden="false" customHeight="true" outlineLevel="0" collapsed="false">
      <c r="A2" s="17" t="s">
        <v>57</v>
      </c>
      <c r="B2" s="17" t="n">
        <v>1685925.43</v>
      </c>
      <c r="C2" s="17" t="n">
        <v>7507</v>
      </c>
      <c r="D2" s="17" t="n">
        <v>7589</v>
      </c>
      <c r="E2" s="17" t="n">
        <v>200.769939385953</v>
      </c>
      <c r="F2" s="17" t="n">
        <v>21.383892475952</v>
      </c>
      <c r="G2" s="17" t="n">
        <v>3.8348926077217</v>
      </c>
      <c r="H2" s="17" t="n">
        <v>0.242324416919225</v>
      </c>
    </row>
    <row r="3" customFormat="false" ht="15" hidden="false" customHeight="true" outlineLevel="0" collapsed="false">
      <c r="A3" s="17" t="s">
        <v>58</v>
      </c>
      <c r="B3" s="17" t="n">
        <v>1508123.28</v>
      </c>
      <c r="C3" s="17" t="n">
        <v>5907</v>
      </c>
      <c r="D3" s="17" t="n">
        <v>5957</v>
      </c>
      <c r="E3" s="17" t="n">
        <v>230.46382407252</v>
      </c>
      <c r="F3" s="17" t="n">
        <v>22.7044284035588</v>
      </c>
      <c r="G3" s="17" t="n">
        <v>3.83414470370992</v>
      </c>
      <c r="H3" s="17" t="n">
        <v>0.242236024844721</v>
      </c>
    </row>
    <row r="4" customFormat="false" ht="15" hidden="false" customHeight="true" outlineLevel="0" collapsed="false">
      <c r="A4" s="17" t="s">
        <v>59</v>
      </c>
      <c r="B4" s="17" t="n">
        <v>1432652.7</v>
      </c>
      <c r="C4" s="17" t="n">
        <v>9399</v>
      </c>
      <c r="D4" s="17" t="n">
        <v>9536</v>
      </c>
      <c r="E4" s="17" t="n">
        <v>131.978098783557</v>
      </c>
      <c r="F4" s="17" t="n">
        <v>18.258132340604</v>
      </c>
      <c r="G4" s="17" t="n">
        <v>3.84647651006711</v>
      </c>
      <c r="H4" s="17" t="n">
        <v>0.245700503355705</v>
      </c>
    </row>
    <row r="5" customFormat="false" ht="15" hidden="false" customHeight="true" outlineLevel="0" collapsed="false">
      <c r="A5" s="17" t="s">
        <v>60</v>
      </c>
      <c r="B5" s="17" t="n">
        <v>1424562.88</v>
      </c>
      <c r="C5" s="17" t="n">
        <v>7570</v>
      </c>
      <c r="D5" s="17" t="n">
        <v>7672</v>
      </c>
      <c r="E5" s="17" t="n">
        <v>165.930684306569</v>
      </c>
      <c r="F5" s="17" t="n">
        <v>19.7526942127216</v>
      </c>
      <c r="G5" s="17" t="n">
        <v>3.83068300312826</v>
      </c>
      <c r="H5" s="17" t="n">
        <v>0.249739311783107</v>
      </c>
    </row>
    <row r="6" customFormat="false" ht="15" hidden="false" customHeight="true" outlineLevel="0" collapsed="false">
      <c r="A6" s="17" t="s">
        <v>61</v>
      </c>
      <c r="B6" s="17" t="n">
        <v>1273178.44</v>
      </c>
      <c r="C6" s="17" t="n">
        <v>8590</v>
      </c>
      <c r="D6" s="17" t="n">
        <v>8710</v>
      </c>
      <c r="E6" s="17" t="n">
        <v>127.976380022962</v>
      </c>
      <c r="F6" s="17" t="n">
        <v>18.1979529276694</v>
      </c>
      <c r="G6" s="17" t="n">
        <v>3.80619977037888</v>
      </c>
      <c r="H6" s="17" t="n">
        <v>0.249483352468427</v>
      </c>
    </row>
    <row r="7" customFormat="false" ht="15" hidden="false" customHeight="true" outlineLevel="0" collapsed="false">
      <c r="A7" s="17" t="s">
        <v>62</v>
      </c>
      <c r="B7" s="17" t="n">
        <v>1214319.13</v>
      </c>
      <c r="C7" s="17" t="n">
        <v>10297</v>
      </c>
      <c r="D7" s="17" t="n">
        <v>10440</v>
      </c>
      <c r="E7" s="17" t="n">
        <v>99.5121312260536</v>
      </c>
      <c r="F7" s="17" t="n">
        <v>16.8019616858238</v>
      </c>
      <c r="G7" s="17" t="n">
        <v>3.84272030651341</v>
      </c>
      <c r="H7" s="17" t="n">
        <v>0.24272030651341</v>
      </c>
    </row>
    <row r="8" customFormat="false" ht="15" hidden="false" customHeight="true" outlineLevel="0" collapsed="false">
      <c r="A8" s="17" t="s">
        <v>63</v>
      </c>
      <c r="B8" s="17" t="n">
        <v>928428.79</v>
      </c>
      <c r="C8" s="17" t="n">
        <v>3510</v>
      </c>
      <c r="D8" s="17" t="n">
        <v>3528</v>
      </c>
      <c r="E8" s="17" t="n">
        <v>240.022990362812</v>
      </c>
      <c r="F8" s="17" t="n">
        <v>23.1370975056689</v>
      </c>
      <c r="G8" s="17" t="n">
        <v>3.86678004535147</v>
      </c>
      <c r="H8" s="17" t="n">
        <v>0.239229024943311</v>
      </c>
    </row>
    <row r="9" customFormat="false" ht="15" hidden="false" customHeight="true" outlineLevel="0" collapsed="false">
      <c r="A9" s="17" t="s">
        <v>64</v>
      </c>
      <c r="B9" s="17" t="n">
        <v>865718.48</v>
      </c>
      <c r="C9" s="17" t="n">
        <v>5291</v>
      </c>
      <c r="D9" s="17" t="n">
        <v>5328</v>
      </c>
      <c r="E9" s="17" t="n">
        <v>143.783622372372</v>
      </c>
      <c r="F9" s="17" t="n">
        <v>18.7010773273273</v>
      </c>
      <c r="G9" s="17" t="n">
        <v>3.82094594594595</v>
      </c>
      <c r="H9" s="17" t="n">
        <v>0.245495495495495</v>
      </c>
    </row>
    <row r="10" customFormat="false" ht="15" hidden="false" customHeight="true" outlineLevel="0" collapsed="false">
      <c r="A10" s="17" t="s">
        <v>65</v>
      </c>
      <c r="B10" s="17" t="n">
        <v>858355.87</v>
      </c>
      <c r="C10" s="17" t="n">
        <v>4647</v>
      </c>
      <c r="D10" s="17" t="n">
        <v>4681</v>
      </c>
      <c r="E10" s="17" t="n">
        <v>163.613841059603</v>
      </c>
      <c r="F10" s="17" t="n">
        <v>19.7563512070071</v>
      </c>
      <c r="G10" s="17" t="n">
        <v>3.83977782525102</v>
      </c>
      <c r="H10" s="17" t="n">
        <v>0.234351634266182</v>
      </c>
    </row>
    <row r="11" customFormat="false" ht="15" hidden="false" customHeight="true" outlineLevel="0" collapsed="false">
      <c r="A11" s="17" t="s">
        <v>66</v>
      </c>
      <c r="B11" s="17" t="n">
        <v>810594.84</v>
      </c>
      <c r="C11" s="17" t="n">
        <v>4086</v>
      </c>
      <c r="D11" s="17" t="n">
        <v>4109</v>
      </c>
      <c r="E11" s="17" t="n">
        <v>177.027298612801</v>
      </c>
      <c r="F11" s="17" t="n">
        <v>20.2457215867608</v>
      </c>
      <c r="G11" s="17" t="n">
        <v>3.83523971769287</v>
      </c>
      <c r="H11" s="17" t="n">
        <v>0.241177902165977</v>
      </c>
    </row>
    <row r="12" customFormat="false" ht="15" hidden="false" customHeight="true" outlineLevel="0" collapsed="false">
      <c r="A12" s="17" t="s">
        <v>67</v>
      </c>
      <c r="B12" s="17" t="n">
        <v>717020.21</v>
      </c>
      <c r="C12" s="17" t="n">
        <v>7160</v>
      </c>
      <c r="D12" s="17" t="n">
        <v>7230</v>
      </c>
      <c r="E12" s="17" t="n">
        <v>83.1148229598894</v>
      </c>
      <c r="F12" s="17" t="n">
        <v>16.0580968188105</v>
      </c>
      <c r="G12" s="17" t="n">
        <v>3.81272475795297</v>
      </c>
      <c r="H12" s="17" t="n">
        <v>0.239419087136929</v>
      </c>
    </row>
    <row r="13" customFormat="false" ht="15" hidden="false" customHeight="true" outlineLevel="0" collapsed="false">
      <c r="A13" s="17" t="s">
        <v>68</v>
      </c>
      <c r="B13" s="17" t="n">
        <v>707103.23</v>
      </c>
      <c r="C13" s="17" t="n">
        <v>2311</v>
      </c>
      <c r="D13" s="17" t="n">
        <v>2323</v>
      </c>
      <c r="E13" s="17" t="n">
        <v>279.426715454154</v>
      </c>
      <c r="F13" s="17" t="n">
        <v>24.9655488592338</v>
      </c>
      <c r="G13" s="17" t="n">
        <v>3.82866982350409</v>
      </c>
      <c r="H13" s="17" t="n">
        <v>0.235901851054671</v>
      </c>
    </row>
    <row r="14" customFormat="false" ht="15" hidden="false" customHeight="true" outlineLevel="0" collapsed="false">
      <c r="A14" s="17" t="s">
        <v>69</v>
      </c>
      <c r="B14" s="17" t="n">
        <v>673721.88</v>
      </c>
      <c r="C14" s="17" t="n">
        <v>5734</v>
      </c>
      <c r="D14" s="17" t="n">
        <v>5789</v>
      </c>
      <c r="E14" s="17" t="n">
        <v>99.5758939367766</v>
      </c>
      <c r="F14" s="17" t="n">
        <v>16.8037709448955</v>
      </c>
      <c r="G14" s="17" t="n">
        <v>3.86958023838314</v>
      </c>
      <c r="H14" s="17" t="n">
        <v>0.236137502159268</v>
      </c>
    </row>
    <row r="15" customFormat="false" ht="15" hidden="false" customHeight="true" outlineLevel="0" collapsed="false">
      <c r="A15" s="17" t="s">
        <v>70</v>
      </c>
      <c r="B15" s="17" t="n">
        <v>516803.33</v>
      </c>
      <c r="C15" s="17" t="n">
        <v>4666</v>
      </c>
      <c r="D15" s="17" t="n">
        <v>4690</v>
      </c>
      <c r="E15" s="17" t="n">
        <v>93.6908336886994</v>
      </c>
      <c r="F15" s="17" t="n">
        <v>16.5017739872068</v>
      </c>
      <c r="G15" s="17" t="n">
        <v>3.84946695095949</v>
      </c>
      <c r="H15" s="17" t="n">
        <v>0.238805970149254</v>
      </c>
    </row>
    <row r="16" customFormat="false" ht="15" hidden="false" customHeight="true" outlineLevel="0" collapsed="false">
      <c r="A16" s="17" t="s">
        <v>71</v>
      </c>
      <c r="B16" s="17" t="n">
        <v>510853.57</v>
      </c>
      <c r="C16" s="17" t="n">
        <v>1617</v>
      </c>
      <c r="D16" s="17" t="n">
        <v>1622</v>
      </c>
      <c r="E16" s="17" t="n">
        <v>289.466689272503</v>
      </c>
      <c r="F16" s="17" t="n">
        <v>25.4861898890259</v>
      </c>
      <c r="G16" s="17" t="n">
        <v>3.8403205918619</v>
      </c>
      <c r="H16" s="17" t="n">
        <v>0.234278668310728</v>
      </c>
    </row>
    <row r="17" customFormat="false" ht="15" hidden="false" customHeight="true" outlineLevel="0" collapsed="false">
      <c r="A17" s="17" t="s">
        <v>72</v>
      </c>
      <c r="B17" s="17" t="n">
        <v>477829.58</v>
      </c>
      <c r="C17" s="17" t="n">
        <v>3381</v>
      </c>
      <c r="D17" s="17" t="n">
        <v>3399</v>
      </c>
      <c r="E17" s="17" t="n">
        <v>122.665822300677</v>
      </c>
      <c r="F17" s="17" t="n">
        <v>17.9136363636364</v>
      </c>
      <c r="G17" s="17" t="n">
        <v>3.82847896440129</v>
      </c>
      <c r="H17" s="17" t="n">
        <v>0.23918799646955</v>
      </c>
    </row>
    <row r="18" customFormat="false" ht="15" hidden="false" customHeight="true" outlineLevel="0" collapsed="false">
      <c r="A18" s="17" t="s">
        <v>73</v>
      </c>
      <c r="B18" s="17" t="n">
        <v>462015.16</v>
      </c>
      <c r="C18" s="17" t="n">
        <v>3768</v>
      </c>
      <c r="D18" s="17" t="n">
        <v>3794</v>
      </c>
      <c r="E18" s="17" t="n">
        <v>104.682395888245</v>
      </c>
      <c r="F18" s="17" t="n">
        <v>17.0928176067475</v>
      </c>
      <c r="G18" s="17" t="n">
        <v>3.83289404322615</v>
      </c>
      <c r="H18" s="17" t="n">
        <v>0.240643120716921</v>
      </c>
    </row>
    <row r="19" customFormat="false" ht="15" hidden="false" customHeight="true" outlineLevel="0" collapsed="false">
      <c r="A19" s="17" t="s">
        <v>74</v>
      </c>
      <c r="B19" s="17" t="n">
        <v>304219.86</v>
      </c>
      <c r="C19" s="17" t="n">
        <v>2356</v>
      </c>
      <c r="D19" s="17" t="n">
        <v>2363</v>
      </c>
      <c r="E19" s="17" t="n">
        <v>111.342297926365</v>
      </c>
      <c r="F19" s="17" t="n">
        <v>17.4007659754549</v>
      </c>
      <c r="G19" s="17" t="n">
        <v>3.81972069403301</v>
      </c>
      <c r="H19" s="17" t="n">
        <v>0.245873889123995</v>
      </c>
    </row>
    <row r="20" customFormat="false" ht="15" hidden="false" customHeight="true" outlineLevel="0" collapsed="false">
      <c r="A20" s="17" t="s">
        <v>75</v>
      </c>
      <c r="B20" s="17" t="n">
        <v>300384.06</v>
      </c>
      <c r="C20" s="17" t="n">
        <v>2861</v>
      </c>
      <c r="D20" s="17" t="n">
        <v>2874</v>
      </c>
      <c r="E20" s="17" t="n">
        <v>88.2784029227558</v>
      </c>
      <c r="F20" s="17" t="n">
        <v>16.239363256785</v>
      </c>
      <c r="G20" s="17" t="n">
        <v>3.83507306889353</v>
      </c>
      <c r="H20" s="17" t="n">
        <v>0.238691718858733</v>
      </c>
    </row>
    <row r="21" customFormat="false" ht="15" hidden="false" customHeight="true" outlineLevel="0" collapsed="false">
      <c r="A21" s="17" t="s">
        <v>76</v>
      </c>
      <c r="B21" s="17" t="n">
        <v>287343.68</v>
      </c>
      <c r="C21" s="17" t="n">
        <v>1657</v>
      </c>
      <c r="D21" s="17" t="n">
        <v>1662</v>
      </c>
      <c r="E21" s="17" t="n">
        <v>153.636419975933</v>
      </c>
      <c r="F21" s="17" t="n">
        <v>19.253880866426</v>
      </c>
      <c r="G21" s="17" t="n">
        <v>3.82611311672684</v>
      </c>
      <c r="H21" s="17" t="n">
        <v>0.242478941034898</v>
      </c>
    </row>
    <row r="22" customFormat="false" ht="15" hidden="false" customHeight="true" outlineLevel="0" collapsed="false">
      <c r="A22" s="17" t="s">
        <v>77</v>
      </c>
      <c r="B22" s="17" t="n">
        <v>260449.72</v>
      </c>
      <c r="C22" s="17" t="n">
        <v>1255</v>
      </c>
      <c r="D22" s="17" t="n">
        <v>1256</v>
      </c>
      <c r="E22" s="17" t="n">
        <v>186.624426751592</v>
      </c>
      <c r="F22" s="17" t="n">
        <v>20.74</v>
      </c>
      <c r="G22" s="17" t="n">
        <v>3.80732484076433</v>
      </c>
      <c r="H22" s="17" t="n">
        <v>0.253184713375796</v>
      </c>
    </row>
    <row r="23" customFormat="false" ht="15" hidden="false" customHeight="true" outlineLevel="0" collapsed="false">
      <c r="A23" s="17" t="s">
        <v>78</v>
      </c>
      <c r="B23" s="17" t="n">
        <v>246361.02</v>
      </c>
      <c r="C23" s="17" t="n">
        <v>2991</v>
      </c>
      <c r="D23" s="17" t="n">
        <v>3000</v>
      </c>
      <c r="E23" s="17" t="n">
        <v>66.76855</v>
      </c>
      <c r="F23" s="17" t="n">
        <v>15.35179</v>
      </c>
      <c r="G23" s="17" t="n">
        <v>3.823</v>
      </c>
      <c r="H23" s="17" t="n">
        <v>0.239333333333333</v>
      </c>
    </row>
    <row r="24" customFormat="false" ht="15" hidden="false" customHeight="true" outlineLevel="0" collapsed="false">
      <c r="A24" s="17" t="s">
        <v>79</v>
      </c>
      <c r="B24" s="17" t="n">
        <v>234496.85</v>
      </c>
      <c r="C24" s="17" t="n">
        <v>1003</v>
      </c>
      <c r="D24" s="17" t="n">
        <v>1004</v>
      </c>
      <c r="E24" s="17" t="n">
        <v>211.673306772908</v>
      </c>
      <c r="F24" s="17" t="n">
        <v>21.8892928286853</v>
      </c>
      <c r="G24" s="17" t="n">
        <v>3.81872509960159</v>
      </c>
      <c r="H24" s="17" t="n">
        <v>0.24203187250996</v>
      </c>
    </row>
    <row r="25" customFormat="false" ht="15" hidden="false" customHeight="true" outlineLevel="0" collapsed="false">
      <c r="A25" s="17" t="s">
        <v>80</v>
      </c>
      <c r="B25" s="17" t="n">
        <v>150438.55</v>
      </c>
      <c r="C25" s="17" t="n">
        <v>1978</v>
      </c>
      <c r="D25" s="17" t="n">
        <v>1985</v>
      </c>
      <c r="E25" s="17" t="n">
        <v>60.7610680100756</v>
      </c>
      <c r="F25" s="17" t="n">
        <v>15.0266146095718</v>
      </c>
      <c r="G25" s="17" t="n">
        <v>3.78639798488665</v>
      </c>
      <c r="H25" s="17" t="n">
        <v>0.235264483627204</v>
      </c>
    </row>
    <row r="26" customFormat="false" ht="15" hidden="false" customHeight="true" outlineLevel="0" collapsed="false">
      <c r="A26" s="17" t="s">
        <v>81</v>
      </c>
      <c r="B26" s="17" t="n">
        <v>49625.13</v>
      </c>
      <c r="C26" s="17" t="n">
        <v>782</v>
      </c>
      <c r="D26" s="17" t="n">
        <v>783</v>
      </c>
      <c r="E26" s="17" t="n">
        <v>48.9326819923372</v>
      </c>
      <c r="F26" s="17" t="n">
        <v>14.4455172413793</v>
      </c>
      <c r="G26" s="17" t="n">
        <v>3.77905491698595</v>
      </c>
      <c r="H26" s="17" t="n">
        <v>0.231162196679438</v>
      </c>
    </row>
    <row r="28" customFormat="false" ht="15" hidden="false" customHeight="true" outlineLevel="0" collapsed="false">
      <c r="A28" s="16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4"/>
    <col collapsed="false" customWidth="true" hidden="false" outlineLevel="0" max="4" min="4" style="1" width="17"/>
    <col collapsed="false" customWidth="true" hidden="false" outlineLevel="0" max="5" min="5" style="1" width="19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14"/>
  </cols>
  <sheetData>
    <row r="1" customFormat="false" ht="15" hidden="false" customHeight="true" outlineLevel="0" collapsed="false">
      <c r="A1" s="10" t="s">
        <v>35</v>
      </c>
      <c r="B1" s="10" t="s">
        <v>19</v>
      </c>
      <c r="C1" s="10" t="s">
        <v>20</v>
      </c>
      <c r="D1" s="10" t="s">
        <v>21</v>
      </c>
      <c r="E1" s="10" t="s">
        <v>36</v>
      </c>
      <c r="F1" s="10" t="s">
        <v>23</v>
      </c>
      <c r="G1" s="10" t="s">
        <v>22</v>
      </c>
      <c r="H1" s="10" t="s">
        <v>24</v>
      </c>
    </row>
    <row r="2" customFormat="false" ht="15" hidden="false" customHeight="true" outlineLevel="0" collapsed="false">
      <c r="A2" s="17" t="s">
        <v>83</v>
      </c>
      <c r="B2" s="17" t="n">
        <v>7350781.42</v>
      </c>
      <c r="C2" s="17" t="n">
        <v>39925</v>
      </c>
      <c r="D2" s="17" t="n">
        <v>39925</v>
      </c>
      <c r="E2" s="17" t="n">
        <v>8.56723721699037</v>
      </c>
      <c r="F2" s="17" t="n">
        <v>0.234324365471193</v>
      </c>
      <c r="G2" s="17" t="n">
        <v>3.8441897387938</v>
      </c>
      <c r="H2" s="17" t="n">
        <v>184.114750657483</v>
      </c>
    </row>
    <row r="3" customFormat="false" ht="15" hidden="false" customHeight="true" outlineLevel="0" collapsed="false">
      <c r="A3" s="17" t="s">
        <v>84</v>
      </c>
      <c r="B3" s="17" t="n">
        <v>2301497.47</v>
      </c>
      <c r="C3" s="17" t="n">
        <v>12360</v>
      </c>
      <c r="D3" s="17" t="n">
        <v>12360</v>
      </c>
      <c r="E3" s="17" t="n">
        <v>8.51751380829197</v>
      </c>
      <c r="F3" s="17" t="n">
        <v>0.237712368034678</v>
      </c>
      <c r="G3" s="17" t="n">
        <v>3.84576662238691</v>
      </c>
      <c r="H3" s="17" t="n">
        <v>186.205296925566</v>
      </c>
    </row>
    <row r="4" customFormat="false" ht="15" hidden="false" customHeight="true" outlineLevel="0" collapsed="false">
      <c r="A4" s="17" t="s">
        <v>85</v>
      </c>
      <c r="B4" s="17" t="n">
        <v>1931898.96</v>
      </c>
      <c r="C4" s="17" t="n">
        <v>10464</v>
      </c>
      <c r="D4" s="17" t="n">
        <v>10464</v>
      </c>
      <c r="E4" s="17" t="n">
        <v>8.55231744463654</v>
      </c>
      <c r="F4" s="17" t="n">
        <v>0.233143986169425</v>
      </c>
      <c r="G4" s="17" t="n">
        <v>3.85082736478143</v>
      </c>
      <c r="H4" s="17" t="n">
        <v>184.623371559633</v>
      </c>
    </row>
    <row r="5" customFormat="false" ht="15" hidden="false" customHeight="true" outlineLevel="0" collapsed="false">
      <c r="A5" s="17" t="s">
        <v>86</v>
      </c>
      <c r="B5" s="17" t="n">
        <v>1040173.89</v>
      </c>
      <c r="C5" s="17" t="n">
        <v>5717</v>
      </c>
      <c r="D5" s="17" t="n">
        <v>5717</v>
      </c>
      <c r="E5" s="17" t="n">
        <v>8.56536194650144</v>
      </c>
      <c r="F5" s="17" t="n">
        <v>0.22744446123621</v>
      </c>
      <c r="G5" s="17" t="n">
        <v>3.84554934260239</v>
      </c>
      <c r="H5" s="17" t="n">
        <v>181.94400734651</v>
      </c>
    </row>
    <row r="6" customFormat="false" ht="15" hidden="false" customHeight="true" outlineLevel="0" collapsed="false">
      <c r="A6" s="17" t="s">
        <v>87</v>
      </c>
      <c r="B6" s="17" t="n">
        <v>1032167.07</v>
      </c>
      <c r="C6" s="17" t="n">
        <v>5647</v>
      </c>
      <c r="D6" s="17" t="n">
        <v>5647</v>
      </c>
      <c r="E6" s="17" t="n">
        <v>8.60542122285538</v>
      </c>
      <c r="F6" s="17" t="n">
        <v>0.228553827198522</v>
      </c>
      <c r="G6" s="17" t="n">
        <v>3.82858462960111</v>
      </c>
      <c r="H6" s="17" t="n">
        <v>182.781489286347</v>
      </c>
    </row>
    <row r="7" customFormat="false" ht="15" hidden="false" customHeight="true" outlineLevel="0" collapsed="false">
      <c r="A7" s="17" t="s">
        <v>88</v>
      </c>
      <c r="B7" s="17" t="n">
        <v>675687.66</v>
      </c>
      <c r="C7" s="17" t="n">
        <v>3773</v>
      </c>
      <c r="D7" s="17" t="n">
        <v>3773</v>
      </c>
      <c r="E7" s="17" t="n">
        <v>8.69932667750174</v>
      </c>
      <c r="F7" s="17" t="n">
        <v>0.23380543301602</v>
      </c>
      <c r="G7" s="17" t="n">
        <v>3.82609705131182</v>
      </c>
      <c r="H7" s="17" t="n">
        <v>179.084988073151</v>
      </c>
    </row>
    <row r="8" customFormat="false" ht="15" hidden="false" customHeight="true" outlineLevel="0" collapsed="false">
      <c r="A8" s="17" t="s">
        <v>89</v>
      </c>
      <c r="B8" s="17" t="n">
        <v>637932.59</v>
      </c>
      <c r="C8" s="17" t="n">
        <v>3291</v>
      </c>
      <c r="D8" s="17" t="n">
        <v>3291</v>
      </c>
      <c r="E8" s="17" t="n">
        <v>11.6758675078864</v>
      </c>
      <c r="F8" s="17" t="n">
        <v>0.273922187171399</v>
      </c>
      <c r="G8" s="17" t="n">
        <v>3.80415352260778</v>
      </c>
      <c r="H8" s="17" t="n">
        <v>193.841564873899</v>
      </c>
    </row>
    <row r="9" customFormat="false" ht="15" hidden="false" customHeight="true" outlineLevel="0" collapsed="false">
      <c r="A9" s="17" t="s">
        <v>90</v>
      </c>
      <c r="B9" s="17" t="n">
        <v>442969.55</v>
      </c>
      <c r="C9" s="17" t="n">
        <v>2354</v>
      </c>
      <c r="D9" s="17" t="n">
        <v>2354</v>
      </c>
      <c r="E9" s="17" t="n">
        <v>11.600818452381</v>
      </c>
      <c r="F9" s="17" t="n">
        <v>0.286458333333333</v>
      </c>
      <c r="G9" s="17" t="n">
        <v>3.77752976190476</v>
      </c>
      <c r="H9" s="17" t="n">
        <v>188.177378929482</v>
      </c>
    </row>
    <row r="10" customFormat="false" ht="15" hidden="false" customHeight="true" outlineLevel="0" collapsed="false">
      <c r="A10" s="17" t="s">
        <v>91</v>
      </c>
      <c r="B10" s="17" t="n">
        <v>367749.68</v>
      </c>
      <c r="C10" s="17" t="n">
        <v>1908</v>
      </c>
      <c r="D10" s="17" t="n">
        <v>1908</v>
      </c>
      <c r="E10" s="17" t="n">
        <v>11.4388586956522</v>
      </c>
      <c r="F10" s="17" t="n">
        <v>0.268115942028986</v>
      </c>
      <c r="G10" s="17" t="n">
        <v>3.79710144927536</v>
      </c>
      <c r="H10" s="17" t="n">
        <v>192.740922431866</v>
      </c>
    </row>
    <row r="11" customFormat="false" ht="15" hidden="false" customHeight="true" outlineLevel="0" collapsed="false">
      <c r="A11" s="17" t="s">
        <v>92</v>
      </c>
      <c r="B11" s="17" t="n">
        <v>329110.58</v>
      </c>
      <c r="C11" s="17" t="n">
        <v>1713</v>
      </c>
      <c r="D11" s="17" t="n">
        <v>1713</v>
      </c>
      <c r="E11" s="17" t="n">
        <v>11.5424936386768</v>
      </c>
      <c r="F11" s="17" t="n">
        <v>0.256488549618321</v>
      </c>
      <c r="G11" s="17" t="n">
        <v>3.8030534351145</v>
      </c>
      <c r="H11" s="17" t="n">
        <v>192.125265615879</v>
      </c>
    </row>
    <row r="12" customFormat="false" ht="15" hidden="false" customHeight="true" outlineLevel="0" collapsed="false">
      <c r="A12" s="17" t="s">
        <v>93</v>
      </c>
      <c r="B12" s="17" t="n">
        <v>269511.08</v>
      </c>
      <c r="C12" s="17" t="n">
        <v>1425</v>
      </c>
      <c r="D12" s="17" t="n">
        <v>1425</v>
      </c>
      <c r="E12" s="17" t="n">
        <v>11.4779951100245</v>
      </c>
      <c r="F12" s="17" t="n">
        <v>0.267726161369193</v>
      </c>
      <c r="G12" s="17" t="n">
        <v>3.82151589242054</v>
      </c>
      <c r="H12" s="17" t="n">
        <v>189.13058245614</v>
      </c>
    </row>
    <row r="13" customFormat="false" ht="15" hidden="false" customHeight="true" outlineLevel="0" collapsed="false">
      <c r="A13" s="17" t="s">
        <v>94</v>
      </c>
      <c r="B13" s="17" t="n">
        <v>216827.84</v>
      </c>
      <c r="C13" s="17" t="n">
        <v>1159</v>
      </c>
      <c r="D13" s="17" t="n">
        <v>1159</v>
      </c>
      <c r="E13" s="17" t="n">
        <v>11.6170531039641</v>
      </c>
      <c r="F13" s="17" t="n">
        <v>0.290201944652206</v>
      </c>
      <c r="G13" s="17" t="n">
        <v>3.74121166791324</v>
      </c>
      <c r="H13" s="17" t="n">
        <v>187.081829163072</v>
      </c>
    </row>
    <row r="14" customFormat="false" ht="15" hidden="false" customHeight="true" outlineLevel="0" collapsed="false">
      <c r="A14" s="17" t="s">
        <v>95</v>
      </c>
      <c r="B14" s="17" t="n">
        <v>215025.41</v>
      </c>
      <c r="C14" s="17" t="n">
        <v>1134</v>
      </c>
      <c r="D14" s="17" t="n">
        <v>1134</v>
      </c>
      <c r="E14" s="17" t="n">
        <v>11.6476923076923</v>
      </c>
      <c r="F14" s="17" t="n">
        <v>0.275384615384615</v>
      </c>
      <c r="G14" s="17" t="n">
        <v>3.75153846153846</v>
      </c>
      <c r="H14" s="17" t="n">
        <v>189.61676366843</v>
      </c>
    </row>
    <row r="15" customFormat="false" ht="15" hidden="false" customHeight="true" outlineLevel="0" collapsed="false">
      <c r="A15" s="17" t="s">
        <v>96</v>
      </c>
      <c r="B15" s="17" t="n">
        <v>162995.59</v>
      </c>
      <c r="C15" s="17" t="n">
        <v>852</v>
      </c>
      <c r="D15" s="17" t="n">
        <v>852</v>
      </c>
      <c r="E15" s="17" t="n">
        <v>11.5244399185336</v>
      </c>
      <c r="F15" s="17" t="n">
        <v>0.25152749490835</v>
      </c>
      <c r="G15" s="17" t="n">
        <v>3.86558044806517</v>
      </c>
      <c r="H15" s="17" t="n">
        <v>191.309377934272</v>
      </c>
    </row>
    <row r="16" customFormat="false" ht="15" hidden="false" customHeight="true" outlineLevel="0" collapsed="false">
      <c r="A16" s="17" t="s">
        <v>97</v>
      </c>
      <c r="B16" s="17" t="n">
        <v>140136.83</v>
      </c>
      <c r="C16" s="17" t="n">
        <v>740</v>
      </c>
      <c r="D16" s="17" t="n">
        <v>740</v>
      </c>
      <c r="E16" s="17" t="n">
        <v>11.270783847981</v>
      </c>
      <c r="F16" s="17" t="n">
        <v>0.318289786223278</v>
      </c>
      <c r="G16" s="17" t="n">
        <v>3.6686460807601</v>
      </c>
      <c r="H16" s="17" t="n">
        <v>189.374094594595</v>
      </c>
    </row>
    <row r="17" customFormat="false" ht="15" hidden="false" customHeight="true" outlineLevel="0" collapsed="false">
      <c r="A17" s="17" t="s">
        <v>98</v>
      </c>
      <c r="B17" s="17" t="n">
        <v>128830.96</v>
      </c>
      <c r="C17" s="17" t="n">
        <v>666</v>
      </c>
      <c r="D17" s="17" t="n">
        <v>666</v>
      </c>
      <c r="E17" s="17" t="n">
        <v>11.3873056994819</v>
      </c>
      <c r="F17" s="17" t="n">
        <v>0.301813471502591</v>
      </c>
      <c r="G17" s="17" t="n">
        <v>3.76424870466321</v>
      </c>
      <c r="H17" s="17" t="n">
        <v>193.43987987988</v>
      </c>
    </row>
    <row r="18" customFormat="false" ht="15" hidden="false" customHeight="true" outlineLevel="0" collapsed="false">
      <c r="A18" s="17" t="s">
        <v>99</v>
      </c>
      <c r="B18" s="17" t="n">
        <v>113124.3</v>
      </c>
      <c r="C18" s="17" t="n">
        <v>594</v>
      </c>
      <c r="D18" s="17" t="n">
        <v>594</v>
      </c>
      <c r="E18" s="17" t="n">
        <v>11.6454413892909</v>
      </c>
      <c r="F18" s="17" t="n">
        <v>0.31548480463097</v>
      </c>
      <c r="G18" s="17" t="n">
        <v>3.77568740955138</v>
      </c>
      <c r="H18" s="17" t="n">
        <v>190.44494949495</v>
      </c>
    </row>
    <row r="19" customFormat="false" ht="15" hidden="false" customHeight="true" outlineLevel="0" collapsed="false">
      <c r="A19" s="17" t="s">
        <v>100</v>
      </c>
      <c r="B19" s="17" t="n">
        <v>100852.32</v>
      </c>
      <c r="C19" s="17" t="n">
        <v>529</v>
      </c>
      <c r="D19" s="17" t="n">
        <v>529</v>
      </c>
      <c r="E19" s="17" t="n">
        <v>11.5439189189189</v>
      </c>
      <c r="F19" s="17" t="n">
        <v>0.288851351351351</v>
      </c>
      <c r="G19" s="17" t="n">
        <v>3.81756756756757</v>
      </c>
      <c r="H19" s="17" t="n">
        <v>190.647107750473</v>
      </c>
    </row>
    <row r="20" customFormat="false" ht="15" hidden="false" customHeight="true" outlineLevel="0" collapsed="false">
      <c r="A20" s="17" t="s">
        <v>101</v>
      </c>
      <c r="B20" s="17" t="n">
        <v>95364.47</v>
      </c>
      <c r="C20" s="17" t="n">
        <v>496</v>
      </c>
      <c r="D20" s="17" t="n">
        <v>496</v>
      </c>
      <c r="E20" s="17" t="n">
        <v>11.5432098765432</v>
      </c>
      <c r="F20" s="17" t="n">
        <v>0.28042328042328</v>
      </c>
      <c r="G20" s="17" t="n">
        <v>3.88183421516755</v>
      </c>
      <c r="H20" s="17" t="n">
        <v>192.267076612903</v>
      </c>
    </row>
    <row r="21" customFormat="false" ht="15" hidden="false" customHeight="true" outlineLevel="0" collapsed="false">
      <c r="A21" s="17" t="s">
        <v>102</v>
      </c>
      <c r="B21" s="17" t="n">
        <v>85414.21</v>
      </c>
      <c r="C21" s="17" t="n">
        <v>445</v>
      </c>
      <c r="D21" s="17" t="n">
        <v>445</v>
      </c>
      <c r="E21" s="17" t="n">
        <v>12.1539923954373</v>
      </c>
      <c r="F21" s="17" t="n">
        <v>0.249049429657795</v>
      </c>
      <c r="G21" s="17" t="n">
        <v>3.74144486692015</v>
      </c>
      <c r="H21" s="17" t="n">
        <v>191.94204494382</v>
      </c>
    </row>
    <row r="22" customFormat="false" ht="15" hidden="false" customHeight="true" outlineLevel="0" collapsed="false">
      <c r="A22" s="17" t="s">
        <v>103</v>
      </c>
      <c r="B22" s="17" t="n">
        <v>79841.85</v>
      </c>
      <c r="C22" s="17" t="n">
        <v>414</v>
      </c>
      <c r="D22" s="17" t="n">
        <v>414</v>
      </c>
      <c r="E22" s="17" t="n">
        <v>12.2119341563786</v>
      </c>
      <c r="F22" s="17" t="n">
        <v>0.308641975308642</v>
      </c>
      <c r="G22" s="17" t="n">
        <v>3.72633744855967</v>
      </c>
      <c r="H22" s="17" t="n">
        <v>192.854710144928</v>
      </c>
    </row>
    <row r="23" customFormat="false" ht="15" hidden="false" customHeight="true" outlineLevel="0" collapsed="false">
      <c r="A23" s="17" t="s">
        <v>104</v>
      </c>
      <c r="B23" s="17" t="n">
        <v>51963.2</v>
      </c>
      <c r="C23" s="17" t="n">
        <v>275</v>
      </c>
      <c r="D23" s="17" t="n">
        <v>275</v>
      </c>
      <c r="E23" s="17" t="n">
        <v>11.2861635220126</v>
      </c>
      <c r="F23" s="17" t="n">
        <v>0.29559748427673</v>
      </c>
      <c r="G23" s="17" t="n">
        <v>3.84276729559748</v>
      </c>
      <c r="H23" s="17" t="n">
        <v>188.957090909091</v>
      </c>
    </row>
    <row r="24" customFormat="false" ht="15" hidden="false" customHeight="true" outlineLevel="0" collapsed="false">
      <c r="A24" s="17" t="s">
        <v>105</v>
      </c>
      <c r="B24" s="17" t="n">
        <v>51378.34</v>
      </c>
      <c r="C24" s="17" t="n">
        <v>267</v>
      </c>
      <c r="D24" s="17" t="n">
        <v>267</v>
      </c>
      <c r="E24" s="17" t="n">
        <v>11.4253246753247</v>
      </c>
      <c r="F24" s="17" t="n">
        <v>0.246753246753247</v>
      </c>
      <c r="G24" s="17" t="n">
        <v>3.92532467532468</v>
      </c>
      <c r="H24" s="17" t="n">
        <v>192.428239700375</v>
      </c>
    </row>
    <row r="25" customFormat="false" ht="15" hidden="false" customHeight="true" outlineLevel="0" collapsed="false">
      <c r="A25" s="17" t="s">
        <v>106</v>
      </c>
      <c r="B25" s="17" t="n">
        <v>32900.88</v>
      </c>
      <c r="C25" s="17" t="n">
        <v>169</v>
      </c>
      <c r="D25" s="17" t="n">
        <v>169</v>
      </c>
      <c r="E25" s="17" t="n">
        <v>11.7357512953368</v>
      </c>
      <c r="F25" s="17" t="n">
        <v>0.269430051813472</v>
      </c>
      <c r="G25" s="17" t="n">
        <v>3.80829015544042</v>
      </c>
      <c r="H25" s="17" t="n">
        <v>194.679763313609</v>
      </c>
    </row>
    <row r="26" customFormat="false" ht="15" hidden="false" customHeight="true" outlineLevel="0" collapsed="false">
      <c r="A26" s="17" t="s">
        <v>107</v>
      </c>
      <c r="B26" s="17" t="n">
        <v>18923.76</v>
      </c>
      <c r="C26" s="17" t="n">
        <v>92</v>
      </c>
      <c r="D26" s="17" t="n">
        <v>92</v>
      </c>
      <c r="E26" s="17" t="n">
        <v>12.252427184466</v>
      </c>
      <c r="F26" s="17" t="n">
        <v>0.233009708737864</v>
      </c>
      <c r="G26" s="17" t="n">
        <v>3.58252427184466</v>
      </c>
      <c r="H26" s="17" t="n">
        <v>205.693043478261</v>
      </c>
    </row>
    <row r="27" customFormat="false" ht="15" hidden="false" customHeight="true" outlineLevel="0" collapsed="false">
      <c r="A27" s="17" t="s">
        <v>108</v>
      </c>
      <c r="B27" s="17" t="n">
        <v>16449.27</v>
      </c>
      <c r="C27" s="17" t="n">
        <v>90</v>
      </c>
      <c r="D27" s="17" t="n">
        <v>90</v>
      </c>
      <c r="E27" s="17" t="n">
        <v>11.7171717171717</v>
      </c>
      <c r="F27" s="17" t="n">
        <v>0.262626262626263</v>
      </c>
      <c r="G27" s="17" t="n">
        <v>3.46464646464647</v>
      </c>
      <c r="H27" s="17" t="n">
        <v>182.769666666667</v>
      </c>
    </row>
    <row r="28" customFormat="false" ht="15" hidden="false" customHeight="true" outlineLevel="0" collapsed="false">
      <c r="A28" s="17" t="s">
        <v>109</v>
      </c>
      <c r="B28" s="17" t="n">
        <v>11016.49</v>
      </c>
      <c r="C28" s="17" t="n">
        <v>52</v>
      </c>
      <c r="D28" s="17" t="n">
        <v>52</v>
      </c>
      <c r="E28" s="17" t="n">
        <v>11.2786885245902</v>
      </c>
      <c r="F28" s="17" t="n">
        <v>0.229508196721311</v>
      </c>
      <c r="G28" s="17" t="n">
        <v>3.80327868852459</v>
      </c>
      <c r="H28" s="17" t="n">
        <v>211.855576923077</v>
      </c>
    </row>
    <row r="30" customFormat="false" ht="15" hidden="false" customHeight="true" outlineLevel="0" collapsed="false">
      <c r="A30" s="16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  <col collapsed="false" customWidth="true" hidden="false" outlineLevel="0" max="4" min="4" style="1" width="17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14"/>
  </cols>
  <sheetData>
    <row r="1" customFormat="false" ht="15" hidden="false" customHeight="true" outlineLevel="0" collapsed="false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</row>
    <row r="2" customFormat="false" ht="15" hidden="false" customHeight="true" outlineLevel="0" collapsed="false">
      <c r="A2" s="17" t="s">
        <v>110</v>
      </c>
      <c r="B2" s="17" t="n">
        <v>24367.4</v>
      </c>
      <c r="C2" s="17" t="n">
        <v>120</v>
      </c>
      <c r="D2" s="17" t="n">
        <v>120</v>
      </c>
      <c r="E2" s="17" t="n">
        <v>3.50704225352113</v>
      </c>
      <c r="F2" s="17" t="n">
        <v>0.288732394366197</v>
      </c>
      <c r="G2" s="17" t="n">
        <v>203.061666666667</v>
      </c>
    </row>
    <row r="3" customFormat="false" ht="15" hidden="false" customHeight="true" outlineLevel="0" collapsed="false">
      <c r="A3" s="17" t="s">
        <v>111</v>
      </c>
      <c r="B3" s="17" t="n">
        <v>79530.25</v>
      </c>
      <c r="C3" s="17" t="n">
        <v>430</v>
      </c>
      <c r="D3" s="17" t="n">
        <v>430</v>
      </c>
      <c r="E3" s="17" t="n">
        <v>3.75347912524851</v>
      </c>
      <c r="F3" s="17" t="n">
        <v>0.26441351888668</v>
      </c>
      <c r="G3" s="17" t="n">
        <v>184.954069767442</v>
      </c>
    </row>
    <row r="4" customFormat="false" ht="15" hidden="false" customHeight="true" outlineLevel="0" collapsed="false">
      <c r="A4" s="17" t="s">
        <v>112</v>
      </c>
      <c r="B4" s="17" t="n">
        <v>143085.49</v>
      </c>
      <c r="C4" s="17" t="n">
        <v>755</v>
      </c>
      <c r="D4" s="17" t="n">
        <v>755</v>
      </c>
      <c r="E4" s="17" t="n">
        <v>3.89576174112257</v>
      </c>
      <c r="F4" s="17" t="n">
        <v>0.225658648339061</v>
      </c>
      <c r="G4" s="17" t="n">
        <v>189.517205298013</v>
      </c>
    </row>
    <row r="5" customFormat="false" ht="15" hidden="false" customHeight="true" outlineLevel="0" collapsed="false">
      <c r="A5" s="17" t="s">
        <v>113</v>
      </c>
      <c r="B5" s="17" t="n">
        <v>216396.36</v>
      </c>
      <c r="C5" s="17" t="n">
        <v>1160</v>
      </c>
      <c r="D5" s="17" t="n">
        <v>1160</v>
      </c>
      <c r="E5" s="17" t="n">
        <v>3.85692995529061</v>
      </c>
      <c r="F5" s="17" t="n">
        <v>0.241430700447094</v>
      </c>
      <c r="G5" s="17" t="n">
        <v>186.548586206897</v>
      </c>
    </row>
    <row r="6" customFormat="false" ht="15" hidden="false" customHeight="true" outlineLevel="0" collapsed="false">
      <c r="A6" s="17" t="s">
        <v>114</v>
      </c>
      <c r="B6" s="17" t="n">
        <v>289073.93</v>
      </c>
      <c r="C6" s="17" t="n">
        <v>1591</v>
      </c>
      <c r="D6" s="17" t="n">
        <v>1591</v>
      </c>
      <c r="E6" s="17" t="n">
        <v>3.86381109280615</v>
      </c>
      <c r="F6" s="17" t="n">
        <v>0.244371224601867</v>
      </c>
      <c r="G6" s="17" t="n">
        <v>181.693230672533</v>
      </c>
    </row>
    <row r="7" customFormat="false" ht="15" hidden="false" customHeight="true" outlineLevel="0" collapsed="false">
      <c r="A7" s="17" t="s">
        <v>115</v>
      </c>
      <c r="B7" s="17" t="n">
        <v>339718.38</v>
      </c>
      <c r="C7" s="17" t="n">
        <v>1851</v>
      </c>
      <c r="D7" s="17" t="n">
        <v>1851</v>
      </c>
      <c r="E7" s="17" t="n">
        <v>3.8220539517274</v>
      </c>
      <c r="F7" s="17" t="n">
        <v>0.243729294841458</v>
      </c>
      <c r="G7" s="17" t="n">
        <v>183.532350081037</v>
      </c>
    </row>
    <row r="8" customFormat="false" ht="15" hidden="false" customHeight="true" outlineLevel="0" collapsed="false">
      <c r="A8" s="17" t="s">
        <v>116</v>
      </c>
      <c r="B8" s="17" t="n">
        <v>438741.8</v>
      </c>
      <c r="C8" s="17" t="n">
        <v>2435</v>
      </c>
      <c r="D8" s="17" t="n">
        <v>2435</v>
      </c>
      <c r="E8" s="17" t="n">
        <v>3.8461262553802</v>
      </c>
      <c r="F8" s="17" t="n">
        <v>0.236370157819225</v>
      </c>
      <c r="G8" s="17" t="n">
        <v>180.181437371663</v>
      </c>
    </row>
    <row r="9" customFormat="false" ht="15" hidden="false" customHeight="true" outlineLevel="0" collapsed="false">
      <c r="A9" s="17" t="s">
        <v>117</v>
      </c>
      <c r="B9" s="17" t="n">
        <v>509440.18</v>
      </c>
      <c r="C9" s="17" t="n">
        <v>2744</v>
      </c>
      <c r="D9" s="17" t="n">
        <v>2744</v>
      </c>
      <c r="E9" s="17" t="n">
        <v>3.81775110549589</v>
      </c>
      <c r="F9" s="17" t="n">
        <v>0.253000631711939</v>
      </c>
      <c r="G9" s="17" t="n">
        <v>185.656042274053</v>
      </c>
    </row>
    <row r="10" customFormat="false" ht="15" hidden="false" customHeight="true" outlineLevel="0" collapsed="false">
      <c r="A10" s="17" t="s">
        <v>118</v>
      </c>
      <c r="B10" s="17" t="n">
        <v>582457</v>
      </c>
      <c r="C10" s="17" t="n">
        <v>3129</v>
      </c>
      <c r="D10" s="17" t="n">
        <v>3129</v>
      </c>
      <c r="E10" s="17" t="n">
        <v>3.84684931506849</v>
      </c>
      <c r="F10" s="17" t="n">
        <v>0.236986301369863</v>
      </c>
      <c r="G10" s="17" t="n">
        <v>186.147970597635</v>
      </c>
    </row>
    <row r="11" customFormat="false" ht="15" hidden="false" customHeight="true" outlineLevel="0" collapsed="false">
      <c r="A11" s="17" t="s">
        <v>119</v>
      </c>
      <c r="B11" s="17" t="n">
        <v>636554.15</v>
      </c>
      <c r="C11" s="17" t="n">
        <v>3457</v>
      </c>
      <c r="D11" s="17" t="n">
        <v>3457</v>
      </c>
      <c r="E11" s="17" t="n">
        <v>3.83851554663992</v>
      </c>
      <c r="F11" s="17" t="n">
        <v>0.241474423269809</v>
      </c>
      <c r="G11" s="17" t="n">
        <v>184.134842348857</v>
      </c>
    </row>
    <row r="12" customFormat="false" ht="15" hidden="false" customHeight="true" outlineLevel="0" collapsed="false">
      <c r="A12" s="17" t="s">
        <v>120</v>
      </c>
      <c r="B12" s="17" t="n">
        <v>746312.1</v>
      </c>
      <c r="C12" s="17" t="n">
        <v>3960</v>
      </c>
      <c r="D12" s="17" t="n">
        <v>3960</v>
      </c>
      <c r="E12" s="17" t="n">
        <v>3.81766630316249</v>
      </c>
      <c r="F12" s="17" t="n">
        <v>0.236423118865867</v>
      </c>
      <c r="G12" s="17" t="n">
        <v>188.462651515152</v>
      </c>
    </row>
    <row r="13" customFormat="false" ht="15" hidden="false" customHeight="true" outlineLevel="0" collapsed="false">
      <c r="A13" s="17" t="s">
        <v>121</v>
      </c>
      <c r="B13" s="17" t="n">
        <v>786994.01</v>
      </c>
      <c r="C13" s="17" t="n">
        <v>4302</v>
      </c>
      <c r="D13" s="17" t="n">
        <v>4302</v>
      </c>
      <c r="E13" s="17" t="n">
        <v>3.86113360323887</v>
      </c>
      <c r="F13" s="17" t="n">
        <v>0.238056680161943</v>
      </c>
      <c r="G13" s="17" t="n">
        <v>182.936775918178</v>
      </c>
    </row>
    <row r="14" customFormat="false" ht="15" hidden="false" customHeight="true" outlineLevel="0" collapsed="false">
      <c r="A14" s="17" t="s">
        <v>122</v>
      </c>
      <c r="B14" s="17" t="n">
        <v>862952.5</v>
      </c>
      <c r="C14" s="17" t="n">
        <v>4621</v>
      </c>
      <c r="D14" s="17" t="n">
        <v>4621</v>
      </c>
      <c r="E14" s="17" t="n">
        <v>3.82063789868668</v>
      </c>
      <c r="F14" s="17" t="n">
        <v>0.241463414634146</v>
      </c>
      <c r="G14" s="17" t="n">
        <v>186.745834235014</v>
      </c>
    </row>
    <row r="15" customFormat="false" ht="15" hidden="false" customHeight="true" outlineLevel="0" collapsed="false">
      <c r="A15" s="17" t="s">
        <v>123</v>
      </c>
      <c r="B15" s="17" t="n">
        <v>945719.03</v>
      </c>
      <c r="C15" s="17" t="n">
        <v>5146</v>
      </c>
      <c r="D15" s="17" t="n">
        <v>5146</v>
      </c>
      <c r="E15" s="17" t="n">
        <v>3.85689948892675</v>
      </c>
      <c r="F15" s="17" t="n">
        <v>0.242419080068143</v>
      </c>
      <c r="G15" s="17" t="n">
        <v>183.777502914885</v>
      </c>
    </row>
    <row r="16" customFormat="false" ht="15" hidden="false" customHeight="true" outlineLevel="0" collapsed="false">
      <c r="A16" s="17" t="s">
        <v>124</v>
      </c>
      <c r="B16" s="17" t="n">
        <v>993073.52</v>
      </c>
      <c r="C16" s="17" t="n">
        <v>5270</v>
      </c>
      <c r="D16" s="17" t="n">
        <v>5270</v>
      </c>
      <c r="E16" s="17" t="n">
        <v>3.83659057316472</v>
      </c>
      <c r="F16" s="17" t="n">
        <v>0.237313187715553</v>
      </c>
      <c r="G16" s="17" t="n">
        <v>188.438998102467</v>
      </c>
    </row>
    <row r="17" customFormat="false" ht="15" hidden="false" customHeight="true" outlineLevel="0" collapsed="false">
      <c r="A17" s="17" t="s">
        <v>125</v>
      </c>
      <c r="B17" s="17" t="n">
        <v>1078616.11</v>
      </c>
      <c r="C17" s="17" t="n">
        <v>5780</v>
      </c>
      <c r="D17" s="17" t="n">
        <v>5780</v>
      </c>
      <c r="E17" s="17" t="n">
        <v>3.86307553415588</v>
      </c>
      <c r="F17" s="17" t="n">
        <v>0.233222991272946</v>
      </c>
      <c r="G17" s="17" t="n">
        <v>186.611783737024</v>
      </c>
    </row>
    <row r="18" customFormat="false" ht="15" hidden="false" customHeight="true" outlineLevel="0" collapsed="false">
      <c r="A18" s="17" t="s">
        <v>126</v>
      </c>
      <c r="B18" s="17" t="n">
        <v>1143991.9</v>
      </c>
      <c r="C18" s="17" t="n">
        <v>6128</v>
      </c>
      <c r="D18" s="17" t="n">
        <v>6128</v>
      </c>
      <c r="E18" s="17" t="n">
        <v>3.84237216509368</v>
      </c>
      <c r="F18" s="17" t="n">
        <v>0.247499647837724</v>
      </c>
      <c r="G18" s="17" t="n">
        <v>186.682751305483</v>
      </c>
    </row>
    <row r="19" customFormat="false" ht="15" hidden="false" customHeight="true" outlineLevel="0" collapsed="false">
      <c r="A19" s="17" t="s">
        <v>127</v>
      </c>
      <c r="B19" s="17" t="n">
        <v>1074526.46</v>
      </c>
      <c r="C19" s="17" t="n">
        <v>5817</v>
      </c>
      <c r="D19" s="17" t="n">
        <v>5817</v>
      </c>
      <c r="E19" s="17" t="n">
        <v>3.82510809601909</v>
      </c>
      <c r="F19" s="17" t="n">
        <v>0.241538690919934</v>
      </c>
      <c r="G19" s="17" t="n">
        <v>184.721756919374</v>
      </c>
    </row>
    <row r="20" customFormat="false" ht="15" hidden="false" customHeight="true" outlineLevel="0" collapsed="false">
      <c r="A20" s="17" t="s">
        <v>128</v>
      </c>
      <c r="B20" s="17" t="n">
        <v>1219838.97</v>
      </c>
      <c r="C20" s="17" t="n">
        <v>6598</v>
      </c>
      <c r="D20" s="17" t="n">
        <v>6598</v>
      </c>
      <c r="E20" s="17" t="n">
        <v>3.78649180327869</v>
      </c>
      <c r="F20" s="17" t="n">
        <v>0.250754098360656</v>
      </c>
      <c r="G20" s="17" t="n">
        <v>184.880110639588</v>
      </c>
    </row>
    <row r="21" customFormat="false" ht="15" hidden="false" customHeight="true" outlineLevel="0" collapsed="false">
      <c r="A21" s="17" t="s">
        <v>129</v>
      </c>
      <c r="B21" s="17" t="n">
        <v>1195857.76</v>
      </c>
      <c r="C21" s="17" t="n">
        <v>6515</v>
      </c>
      <c r="D21" s="17" t="n">
        <v>6515</v>
      </c>
      <c r="E21" s="17" t="n">
        <v>3.82415394824154</v>
      </c>
      <c r="F21" s="17" t="n">
        <v>0.242203052422031</v>
      </c>
      <c r="G21" s="17" t="n">
        <v>183.554529547199</v>
      </c>
    </row>
    <row r="22" customFormat="false" ht="15" hidden="false" customHeight="true" outlineLevel="0" collapsed="false">
      <c r="A22" s="17" t="s">
        <v>130</v>
      </c>
      <c r="B22" s="17" t="n">
        <v>1261380.07</v>
      </c>
      <c r="C22" s="17" t="n">
        <v>6800</v>
      </c>
      <c r="D22" s="17" t="n">
        <v>6800</v>
      </c>
      <c r="E22" s="17" t="n">
        <v>3.82921520932019</v>
      </c>
      <c r="F22" s="17" t="n">
        <v>0.238509793880425</v>
      </c>
      <c r="G22" s="17" t="n">
        <v>185.497069117647</v>
      </c>
    </row>
    <row r="23" customFormat="false" ht="15" hidden="false" customHeight="true" outlineLevel="0" collapsed="false">
      <c r="A23" s="17" t="s">
        <v>131</v>
      </c>
      <c r="B23" s="17" t="n">
        <v>1212695.05</v>
      </c>
      <c r="C23" s="17" t="n">
        <v>6541</v>
      </c>
      <c r="D23" s="17" t="n">
        <v>6541</v>
      </c>
      <c r="E23" s="17" t="n">
        <v>3.82289301455857</v>
      </c>
      <c r="F23" s="17" t="n">
        <v>0.241351676238814</v>
      </c>
      <c r="G23" s="17" t="n">
        <v>185.399029200428</v>
      </c>
    </row>
    <row r="24" customFormat="false" ht="15" hidden="false" customHeight="true" outlineLevel="0" collapsed="false">
      <c r="A24" s="17" t="s">
        <v>132</v>
      </c>
      <c r="B24" s="17" t="n">
        <v>1156935.68</v>
      </c>
      <c r="C24" s="17" t="n">
        <v>6306</v>
      </c>
      <c r="D24" s="17" t="n">
        <v>6306</v>
      </c>
      <c r="E24" s="17" t="n">
        <v>3.8360768175583</v>
      </c>
      <c r="F24" s="17" t="n">
        <v>0.251577503429355</v>
      </c>
      <c r="G24" s="17" t="n">
        <v>183.465854741516</v>
      </c>
    </row>
    <row r="25" customFormat="false" ht="15" hidden="false" customHeight="true" outlineLevel="0" collapsed="false">
      <c r="A25" s="17" t="s">
        <v>133</v>
      </c>
      <c r="B25" s="17" t="n">
        <v>962267.57</v>
      </c>
      <c r="C25" s="17" t="n">
        <v>5095</v>
      </c>
      <c r="D25" s="17" t="n">
        <v>5095</v>
      </c>
      <c r="E25" s="17" t="n">
        <v>3.83423362592843</v>
      </c>
      <c r="F25" s="17" t="n">
        <v>0.241559756920999</v>
      </c>
      <c r="G25" s="17" t="n">
        <v>188.865077526987</v>
      </c>
    </row>
    <row r="27" customFormat="false" ht="15" hidden="false" customHeight="true" outlineLevel="0" collapsed="false">
      <c r="A27" s="16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10" t="s">
        <v>42</v>
      </c>
      <c r="B1" s="10" t="s">
        <v>20</v>
      </c>
      <c r="C1" s="10" t="s">
        <v>43</v>
      </c>
      <c r="D1" s="10" t="s">
        <v>44</v>
      </c>
    </row>
    <row r="2" customFormat="false" ht="15" hidden="false" customHeight="true" outlineLevel="0" collapsed="false">
      <c r="A2" s="17" t="s">
        <v>134</v>
      </c>
      <c r="B2" s="17" t="n">
        <v>71384</v>
      </c>
      <c r="C2" s="17" t="n">
        <v>13222320.57</v>
      </c>
      <c r="D2" s="17" t="n">
        <v>185.228070295865</v>
      </c>
    </row>
    <row r="3" customFormat="false" ht="15" hidden="false" customHeight="true" outlineLevel="0" collapsed="false">
      <c r="A3" s="17" t="s">
        <v>135</v>
      </c>
      <c r="B3" s="17" t="n">
        <v>18438</v>
      </c>
      <c r="C3" s="17" t="n">
        <v>3418278.44</v>
      </c>
      <c r="D3" s="17" t="n">
        <v>185.393125067795</v>
      </c>
    </row>
    <row r="4" customFormat="false" ht="15" hidden="false" customHeight="true" outlineLevel="0" collapsed="false">
      <c r="A4" s="17" t="s">
        <v>136</v>
      </c>
      <c r="B4" s="17" t="n">
        <v>4352</v>
      </c>
      <c r="C4" s="17" t="n">
        <v>817509.64</v>
      </c>
      <c r="D4" s="17" t="n">
        <v>187.846884191177</v>
      </c>
    </row>
    <row r="5" customFormat="false" ht="15" hidden="false" customHeight="true" outlineLevel="0" collapsed="false">
      <c r="A5" s="17" t="s">
        <v>137</v>
      </c>
      <c r="B5" s="17" t="n">
        <v>2377</v>
      </c>
      <c r="C5" s="17" t="n">
        <v>442417.02</v>
      </c>
      <c r="D5" s="17" t="n">
        <v>186.124114429954</v>
      </c>
    </row>
    <row r="7" customFormat="false" ht="15" hidden="false" customHeight="true" outlineLevel="0" collapsed="false">
      <c r="A7" s="16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9"/>
    <col collapsed="false" customWidth="true" hidden="false" outlineLevel="0" max="4" min="4" style="1" width="16"/>
    <col collapsed="false" customWidth="true" hidden="false" outlineLevel="0" max="5" min="5" style="1" width="20"/>
  </cols>
  <sheetData>
    <row r="1" customFormat="false" ht="15" hidden="false" customHeight="true" outlineLevel="0" collapsed="false">
      <c r="A1" s="10" t="s">
        <v>38</v>
      </c>
      <c r="B1" s="10" t="s">
        <v>20</v>
      </c>
      <c r="C1" s="10" t="s">
        <v>36</v>
      </c>
      <c r="D1" s="10" t="s">
        <v>39</v>
      </c>
      <c r="E1" s="10" t="s">
        <v>23</v>
      </c>
    </row>
    <row r="2" customFormat="false" ht="15" hidden="false" customHeight="true" outlineLevel="0" collapsed="false">
      <c r="A2" s="17" t="n">
        <v>1</v>
      </c>
      <c r="B2" s="17" t="n">
        <v>8589</v>
      </c>
      <c r="C2" s="17" t="n">
        <v>9.52427523576668</v>
      </c>
      <c r="D2" s="17" t="n">
        <v>-1.2200488997555</v>
      </c>
      <c r="E2" s="17" t="n">
        <v>0.477820468040517</v>
      </c>
    </row>
    <row r="3" customFormat="false" ht="15" hidden="false" customHeight="true" outlineLevel="0" collapsed="false">
      <c r="A3" s="17" t="n">
        <v>2</v>
      </c>
      <c r="B3" s="17" t="n">
        <v>7962</v>
      </c>
      <c r="C3" s="17" t="n">
        <v>9.74101984426024</v>
      </c>
      <c r="D3" s="17" t="n">
        <v>-0.779326802310977</v>
      </c>
      <c r="E3" s="17" t="n">
        <v>0.542200452147702</v>
      </c>
    </row>
    <row r="4" customFormat="false" ht="15" hidden="false" customHeight="true" outlineLevel="0" collapsed="false">
      <c r="A4" s="17" t="n">
        <v>3</v>
      </c>
      <c r="B4" s="17" t="n">
        <v>15686</v>
      </c>
      <c r="C4" s="17" t="n">
        <v>9.54143822516894</v>
      </c>
      <c r="D4" s="17" t="n">
        <v>-0.835075863827617</v>
      </c>
      <c r="E4" s="17" t="n">
        <v>0.533278082366441</v>
      </c>
    </row>
    <row r="5" customFormat="false" ht="15" hidden="false" customHeight="true" outlineLevel="0" collapsed="false">
      <c r="A5" s="17" t="n">
        <v>4</v>
      </c>
      <c r="B5" s="17" t="n">
        <v>23047</v>
      </c>
      <c r="C5" s="17" t="n">
        <v>9.32633314531175</v>
      </c>
      <c r="D5" s="17" t="n">
        <v>-2.42964377142361</v>
      </c>
      <c r="E5" s="17" t="n">
        <v>0.284462185967805</v>
      </c>
    </row>
    <row r="6" customFormat="false" ht="15" hidden="false" customHeight="true" outlineLevel="0" collapsed="false">
      <c r="A6" s="17" t="n">
        <v>5</v>
      </c>
      <c r="B6" s="17" t="n">
        <v>41267</v>
      </c>
      <c r="C6" s="17" t="n">
        <v>8.70872610075848</v>
      </c>
      <c r="D6" s="17" t="n">
        <v>-4.28221096760123</v>
      </c>
      <c r="E6" s="17" t="n">
        <v>0</v>
      </c>
    </row>
    <row r="8" customFormat="false" ht="15" hidden="false" customHeight="true" outlineLevel="0" collapsed="false">
      <c r="A8" s="16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4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19"/>
  </cols>
  <sheetData>
    <row r="1" customFormat="false" ht="15" hidden="false" customHeight="true" outlineLevel="0" collapsed="false">
      <c r="A1" s="10" t="s">
        <v>138</v>
      </c>
      <c r="B1" s="10" t="s">
        <v>139</v>
      </c>
      <c r="C1" s="10" t="s">
        <v>19</v>
      </c>
      <c r="D1" s="10" t="s">
        <v>20</v>
      </c>
      <c r="E1" s="10" t="s">
        <v>22</v>
      </c>
      <c r="F1" s="10" t="s">
        <v>23</v>
      </c>
      <c r="G1" s="10" t="s">
        <v>36</v>
      </c>
    </row>
    <row r="2" customFormat="false" ht="15" hidden="false" customHeight="true" outlineLevel="0" collapsed="false">
      <c r="A2" s="17" t="n">
        <v>1</v>
      </c>
      <c r="B2" s="17" t="s">
        <v>140</v>
      </c>
      <c r="C2" s="17" t="n">
        <v>10890.74</v>
      </c>
      <c r="D2" s="17" t="n">
        <v>50</v>
      </c>
      <c r="E2" s="17" t="n">
        <v>3.82</v>
      </c>
      <c r="F2" s="17" t="n">
        <v>0.26</v>
      </c>
      <c r="G2" s="17" t="n">
        <v>8.98</v>
      </c>
    </row>
    <row r="3" customFormat="false" ht="15" hidden="false" customHeight="true" outlineLevel="0" collapsed="false">
      <c r="A3" s="17" t="n">
        <v>2</v>
      </c>
      <c r="B3" s="17" t="s">
        <v>141</v>
      </c>
      <c r="C3" s="17" t="n">
        <v>10371.58</v>
      </c>
      <c r="D3" s="17" t="n">
        <v>57</v>
      </c>
      <c r="E3" s="17" t="n">
        <v>4.07017543859649</v>
      </c>
      <c r="F3" s="17" t="n">
        <v>0.157894736842105</v>
      </c>
      <c r="G3" s="17" t="n">
        <v>9.12280701754386</v>
      </c>
    </row>
    <row r="4" customFormat="false" ht="15" hidden="false" customHeight="true" outlineLevel="0" collapsed="false">
      <c r="A4" s="17" t="n">
        <v>3</v>
      </c>
      <c r="B4" s="17" t="s">
        <v>142</v>
      </c>
      <c r="C4" s="17" t="n">
        <v>10343.96</v>
      </c>
      <c r="D4" s="17" t="n">
        <v>60</v>
      </c>
      <c r="E4" s="17" t="n">
        <v>3.71666666666667</v>
      </c>
      <c r="F4" s="17" t="n">
        <v>0.316666666666667</v>
      </c>
      <c r="G4" s="17" t="n">
        <v>9.65</v>
      </c>
    </row>
    <row r="5" customFormat="false" ht="15" hidden="false" customHeight="true" outlineLevel="0" collapsed="false">
      <c r="A5" s="17" t="n">
        <v>4</v>
      </c>
      <c r="B5" s="17" t="s">
        <v>143</v>
      </c>
      <c r="C5" s="17" t="n">
        <v>10114.89</v>
      </c>
      <c r="D5" s="17" t="n">
        <v>53</v>
      </c>
      <c r="E5" s="17" t="n">
        <v>3.69811320754717</v>
      </c>
      <c r="F5" s="17" t="n">
        <v>0.320754716981132</v>
      </c>
      <c r="G5" s="17" t="n">
        <v>10.3207547169811</v>
      </c>
    </row>
    <row r="6" customFormat="false" ht="15" hidden="false" customHeight="true" outlineLevel="0" collapsed="false">
      <c r="A6" s="17" t="n">
        <v>5</v>
      </c>
      <c r="B6" s="17" t="s">
        <v>144</v>
      </c>
      <c r="C6" s="17" t="n">
        <v>10076.67</v>
      </c>
      <c r="D6" s="17" t="n">
        <v>45</v>
      </c>
      <c r="E6" s="17" t="n">
        <v>3.62222222222222</v>
      </c>
      <c r="F6" s="17" t="n">
        <v>0.311111111111111</v>
      </c>
      <c r="G6" s="17" t="n">
        <v>9.77777777777778</v>
      </c>
    </row>
    <row r="7" customFormat="false" ht="15" hidden="false" customHeight="true" outlineLevel="0" collapsed="false">
      <c r="A7" s="17" t="n">
        <v>6</v>
      </c>
      <c r="B7" s="17" t="s">
        <v>145</v>
      </c>
      <c r="C7" s="17" t="n">
        <v>10002.06</v>
      </c>
      <c r="D7" s="17" t="n">
        <v>61</v>
      </c>
      <c r="E7" s="17" t="n">
        <v>3.91803278688525</v>
      </c>
      <c r="F7" s="17" t="n">
        <v>0.245901639344262</v>
      </c>
      <c r="G7" s="17" t="n">
        <v>8.65573770491803</v>
      </c>
    </row>
    <row r="8" customFormat="false" ht="15" hidden="false" customHeight="true" outlineLevel="0" collapsed="false">
      <c r="A8" s="17" t="n">
        <v>7</v>
      </c>
      <c r="B8" s="17" t="s">
        <v>146</v>
      </c>
      <c r="C8" s="17" t="n">
        <v>9981.27</v>
      </c>
      <c r="D8" s="17" t="n">
        <v>61</v>
      </c>
      <c r="E8" s="17" t="n">
        <v>3.70491803278689</v>
      </c>
      <c r="F8" s="17" t="n">
        <v>0.229508196721311</v>
      </c>
      <c r="G8" s="17" t="n">
        <v>8.80327868852459</v>
      </c>
    </row>
    <row r="9" customFormat="false" ht="15" hidden="false" customHeight="true" outlineLevel="0" collapsed="false">
      <c r="A9" s="17" t="n">
        <v>8</v>
      </c>
      <c r="B9" s="17" t="s">
        <v>147</v>
      </c>
      <c r="C9" s="17" t="n">
        <v>9967.11</v>
      </c>
      <c r="D9" s="17" t="n">
        <v>55</v>
      </c>
      <c r="E9" s="17" t="n">
        <v>3.98181818181818</v>
      </c>
      <c r="F9" s="17" t="n">
        <v>0.236363636363636</v>
      </c>
      <c r="G9" s="17" t="n">
        <v>9.38181818181818</v>
      </c>
    </row>
    <row r="10" customFormat="false" ht="15" hidden="false" customHeight="true" outlineLevel="0" collapsed="false">
      <c r="A10" s="17" t="n">
        <v>9</v>
      </c>
      <c r="B10" s="17" t="s">
        <v>148</v>
      </c>
      <c r="C10" s="17" t="n">
        <v>9893.65</v>
      </c>
      <c r="D10" s="17" t="n">
        <v>55</v>
      </c>
      <c r="E10" s="17" t="n">
        <v>3.83636363636364</v>
      </c>
      <c r="F10" s="17" t="n">
        <v>0.254545454545455</v>
      </c>
      <c r="G10" s="17" t="n">
        <v>8.72727272727273</v>
      </c>
    </row>
    <row r="11" customFormat="false" ht="15" hidden="false" customHeight="true" outlineLevel="0" collapsed="false">
      <c r="A11" s="17" t="n">
        <v>10</v>
      </c>
      <c r="B11" s="17" t="s">
        <v>149</v>
      </c>
      <c r="C11" s="17" t="n">
        <v>9777.02</v>
      </c>
      <c r="D11" s="17" t="n">
        <v>54</v>
      </c>
      <c r="E11" s="17" t="n">
        <v>3.83333333333333</v>
      </c>
      <c r="F11" s="17" t="n">
        <v>0.185185185185185</v>
      </c>
      <c r="G11" s="17" t="n">
        <v>9.11111111111111</v>
      </c>
    </row>
    <row r="12" customFormat="false" ht="15" hidden="false" customHeight="true" outlineLevel="0" collapsed="false">
      <c r="A12" s="17" t="n">
        <v>11</v>
      </c>
      <c r="B12" s="17" t="s">
        <v>150</v>
      </c>
      <c r="C12" s="17" t="n">
        <v>9761.17</v>
      </c>
      <c r="D12" s="17" t="n">
        <v>50</v>
      </c>
      <c r="E12" s="17" t="n">
        <v>3.84</v>
      </c>
      <c r="F12" s="17" t="n">
        <v>0.34</v>
      </c>
      <c r="G12" s="17" t="n">
        <v>9.38</v>
      </c>
    </row>
    <row r="13" customFormat="false" ht="15" hidden="false" customHeight="true" outlineLevel="0" collapsed="false">
      <c r="A13" s="17" t="n">
        <v>12</v>
      </c>
      <c r="B13" s="17" t="s">
        <v>151</v>
      </c>
      <c r="C13" s="17" t="n">
        <v>9744.56</v>
      </c>
      <c r="D13" s="17" t="n">
        <v>55</v>
      </c>
      <c r="E13" s="17" t="n">
        <v>3.85454545454546</v>
      </c>
      <c r="F13" s="17" t="n">
        <v>0.272727272727273</v>
      </c>
      <c r="G13" s="17" t="n">
        <v>7.81818181818182</v>
      </c>
    </row>
    <row r="14" customFormat="false" ht="15" hidden="false" customHeight="true" outlineLevel="0" collapsed="false">
      <c r="A14" s="17" t="n">
        <v>13</v>
      </c>
      <c r="B14" s="17" t="s">
        <v>152</v>
      </c>
      <c r="C14" s="17" t="n">
        <v>9632.61</v>
      </c>
      <c r="D14" s="17" t="n">
        <v>56</v>
      </c>
      <c r="E14" s="17" t="n">
        <v>3.78571428571429</v>
      </c>
      <c r="F14" s="17" t="n">
        <v>0.196428571428571</v>
      </c>
      <c r="G14" s="17" t="n">
        <v>9.80357142857143</v>
      </c>
    </row>
    <row r="15" customFormat="false" ht="15" hidden="false" customHeight="true" outlineLevel="0" collapsed="false">
      <c r="A15" s="17" t="n">
        <v>14</v>
      </c>
      <c r="B15" s="17" t="s">
        <v>153</v>
      </c>
      <c r="C15" s="17" t="n">
        <v>9631.06</v>
      </c>
      <c r="D15" s="17" t="n">
        <v>63</v>
      </c>
      <c r="E15" s="17" t="n">
        <v>3.87301587301587</v>
      </c>
      <c r="F15" s="17" t="n">
        <v>0.206349206349206</v>
      </c>
      <c r="G15" s="17" t="n">
        <v>10.1746031746032</v>
      </c>
    </row>
    <row r="16" customFormat="false" ht="15" hidden="false" customHeight="true" outlineLevel="0" collapsed="false">
      <c r="A16" s="17" t="n">
        <v>15</v>
      </c>
      <c r="B16" s="17" t="s">
        <v>154</v>
      </c>
      <c r="C16" s="17" t="n">
        <v>9630.72</v>
      </c>
      <c r="D16" s="17" t="n">
        <v>58</v>
      </c>
      <c r="E16" s="17" t="n">
        <v>3.82758620689655</v>
      </c>
      <c r="F16" s="17" t="n">
        <v>0.206896551724138</v>
      </c>
      <c r="G16" s="17" t="n">
        <v>9.3448275862069</v>
      </c>
    </row>
    <row r="17" customFormat="false" ht="15" hidden="false" customHeight="true" outlineLevel="0" collapsed="false">
      <c r="A17" s="17" t="n">
        <v>16</v>
      </c>
      <c r="B17" s="17" t="s">
        <v>155</v>
      </c>
      <c r="C17" s="17" t="n">
        <v>9594.95</v>
      </c>
      <c r="D17" s="17" t="n">
        <v>50</v>
      </c>
      <c r="E17" s="17" t="n">
        <v>3.56</v>
      </c>
      <c r="F17" s="17" t="n">
        <v>0.32</v>
      </c>
      <c r="G17" s="17" t="n">
        <v>8.88</v>
      </c>
    </row>
    <row r="18" customFormat="false" ht="15" hidden="false" customHeight="true" outlineLevel="0" collapsed="false">
      <c r="A18" s="17" t="n">
        <v>17</v>
      </c>
      <c r="B18" s="17" t="s">
        <v>156</v>
      </c>
      <c r="C18" s="17" t="n">
        <v>9593.61</v>
      </c>
      <c r="D18" s="17" t="n">
        <v>53</v>
      </c>
      <c r="E18" s="17" t="n">
        <v>4</v>
      </c>
      <c r="F18" s="17" t="n">
        <v>0.150943396226415</v>
      </c>
      <c r="G18" s="17" t="n">
        <v>8.73584905660377</v>
      </c>
    </row>
    <row r="19" customFormat="false" ht="15" hidden="false" customHeight="true" outlineLevel="0" collapsed="false">
      <c r="A19" s="17" t="n">
        <v>18</v>
      </c>
      <c r="B19" s="17" t="s">
        <v>157</v>
      </c>
      <c r="C19" s="17" t="n">
        <v>9576.56</v>
      </c>
      <c r="D19" s="17" t="n">
        <v>52</v>
      </c>
      <c r="E19" s="17" t="n">
        <v>3.75</v>
      </c>
      <c r="F19" s="17" t="n">
        <v>0.307692307692308</v>
      </c>
      <c r="G19" s="17" t="n">
        <v>9.51923076923077</v>
      </c>
    </row>
    <row r="20" customFormat="false" ht="15" hidden="false" customHeight="true" outlineLevel="0" collapsed="false">
      <c r="A20" s="17" t="n">
        <v>19</v>
      </c>
      <c r="B20" s="17" t="s">
        <v>158</v>
      </c>
      <c r="C20" s="17" t="n">
        <v>9574.98</v>
      </c>
      <c r="D20" s="17" t="n">
        <v>53</v>
      </c>
      <c r="E20" s="17" t="n">
        <v>4.0188679245283</v>
      </c>
      <c r="F20" s="17" t="n">
        <v>0.226415094339623</v>
      </c>
      <c r="G20" s="17" t="n">
        <v>9.0377358490566</v>
      </c>
    </row>
    <row r="21" customFormat="false" ht="15" hidden="false" customHeight="true" outlineLevel="0" collapsed="false">
      <c r="A21" s="17" t="n">
        <v>20</v>
      </c>
      <c r="B21" s="17" t="s">
        <v>159</v>
      </c>
      <c r="C21" s="17" t="n">
        <v>9547.03</v>
      </c>
      <c r="D21" s="17" t="n">
        <v>50</v>
      </c>
      <c r="E21" s="17" t="n">
        <v>3.58</v>
      </c>
      <c r="F21" s="17" t="n">
        <v>0.28</v>
      </c>
      <c r="G21" s="17" t="n">
        <v>9.32</v>
      </c>
    </row>
    <row r="23" customFormat="false" ht="15" hidden="false" customHeight="true" outlineLevel="0" collapsed="false">
      <c r="A23" s="16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</cols>
  <sheetData>
    <row r="1" customFormat="false" ht="17.25" hidden="false" customHeight="true" outlineLevel="0" collapsed="false">
      <c r="A1" s="18" t="s">
        <v>160</v>
      </c>
    </row>
    <row r="2" customFormat="false" ht="15" hidden="false" customHeight="true" outlineLevel="0" collapsed="false">
      <c r="A2" s="16" t="s">
        <v>161</v>
      </c>
    </row>
    <row r="4" customFormat="false" ht="15" hidden="false" customHeight="true" outlineLevel="0" collapsed="false">
      <c r="A4" s="19" t="s">
        <v>162</v>
      </c>
      <c r="B4" s="20" t="s">
        <v>57</v>
      </c>
    </row>
    <row r="6" customFormat="false" ht="15" hidden="false" customHeight="true" outlineLevel="0" collapsed="false">
      <c r="A6" s="19" t="s">
        <v>163</v>
      </c>
      <c r="B6" s="21" t="n">
        <f aca="false">INDEX(Data_Category!$B$2:$B$26,MATCH($B$4,Data_Category!$A$2:$A$26,0))</f>
        <v>1685925.43</v>
      </c>
    </row>
    <row r="7" customFormat="false" ht="15" hidden="false" customHeight="true" outlineLevel="0" collapsed="false">
      <c r="A7" s="19" t="s">
        <v>164</v>
      </c>
      <c r="B7" s="22" t="n">
        <f aca="false">INDEX(Data_Category!$C$2:$C$26,MATCH($B$4,Data_Category!$A$2:$A$26,0))</f>
        <v>7507</v>
      </c>
    </row>
    <row r="8" customFormat="false" ht="15" hidden="false" customHeight="true" outlineLevel="0" collapsed="false">
      <c r="A8" s="19" t="s">
        <v>165</v>
      </c>
      <c r="B8" s="22" t="n">
        <f aca="false">INDEX(Data_Category!$D$2:$D$26,MATCH($B$4,Data_Category!$A$2:$A$26,0))</f>
        <v>7589</v>
      </c>
    </row>
    <row r="9" customFormat="false" ht="15" hidden="false" customHeight="true" outlineLevel="0" collapsed="false">
      <c r="A9" s="19" t="s">
        <v>166</v>
      </c>
      <c r="B9" s="21" t="n">
        <f aca="false">INDEX(Data_Category!$E$2:$E$26,MATCH($B$4,Data_Category!$A$2:$A$26,0))</f>
        <v>200.769939385953</v>
      </c>
    </row>
    <row r="10" customFormat="false" ht="15" hidden="false" customHeight="true" outlineLevel="0" collapsed="false">
      <c r="A10" s="19" t="s">
        <v>167</v>
      </c>
      <c r="B10" s="21" t="n">
        <f aca="false">INDEX(Data_Category!$F$2:$F$26,MATCH($B$4,Data_Category!$A$2:$A$26,0))</f>
        <v>21.383892475952</v>
      </c>
    </row>
    <row r="11" customFormat="false" ht="15" hidden="false" customHeight="true" outlineLevel="0" collapsed="false">
      <c r="A11" s="19" t="s">
        <v>168</v>
      </c>
      <c r="B11" s="23" t="n">
        <f aca="false">INDEX(Data_Category!$G$2:$G$26,MATCH($B$4,Data_Category!$A$2:$A$26,0))</f>
        <v>3.8348926077217</v>
      </c>
    </row>
    <row r="12" customFormat="false" ht="15" hidden="false" customHeight="true" outlineLevel="0" collapsed="false">
      <c r="A12" s="19" t="s">
        <v>14</v>
      </c>
      <c r="B12" s="24" t="n">
        <f aca="false">INDEX(Data_Category!$H$2:$H$26,MATCH($B$4,Data_Category!$A$2:$A$26,0))</f>
        <v>0.242324416919225</v>
      </c>
    </row>
    <row r="13" customFormat="false" ht="15" hidden="false" customHeight="true" outlineLevel="0" collapsed="false">
      <c r="A13" s="19" t="s">
        <v>169</v>
      </c>
      <c r="B13" s="25" t="n">
        <f aca="false">RANK(INDEX(Data_Category!$B$2:$B$26,MATCH($B$4,Data_Category!$A$2:$A$26,0)),Data_Category!$B$2:$B$26)</f>
        <v>1</v>
      </c>
    </row>
    <row r="14" customFormat="false" ht="15" hidden="false" customHeight="true" outlineLevel="0" collapsed="false">
      <c r="A14" s="19" t="s">
        <v>32</v>
      </c>
      <c r="B14" s="24" t="n">
        <f aca="false">INDEX(Data_Category!$B$2:$B$26,MATCH($B$4,Data_Category!$A$2:$A$26,0))/SUM(Data_Category!$B$2:$B$26)</f>
        <v>0.0941830123360841</v>
      </c>
    </row>
    <row r="16" customFormat="false" ht="15" hidden="false" customHeight="true" outlineLevel="0" collapsed="false">
      <c r="A16" s="16" t="s">
        <v>170</v>
      </c>
    </row>
  </sheetData>
  <dataValidations count="1">
    <dataValidation allowBlank="false" errorStyle="stop" operator="between" showDropDown="false" showErrorMessage="false" showInputMessage="false" sqref="B4" type="list">
      <formula1>Data_Category!$A$2:$A$26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6"/>
  </cols>
  <sheetData>
    <row r="1" customFormat="false" ht="17.25" hidden="false" customHeight="true" outlineLevel="0" collapsed="false">
      <c r="A1" s="18" t="s">
        <v>171</v>
      </c>
    </row>
    <row r="2" customFormat="false" ht="15" hidden="false" customHeight="true" outlineLevel="0" collapsed="false">
      <c r="A2" s="16" t="s">
        <v>172</v>
      </c>
    </row>
    <row r="4" customFormat="false" ht="15" hidden="false" customHeight="true" outlineLevel="0" collapsed="false">
      <c r="A4" s="19" t="s">
        <v>173</v>
      </c>
      <c r="B4" s="20" t="n">
        <v>1</v>
      </c>
    </row>
    <row r="6" customFormat="false" ht="15" hidden="false" customHeight="true" outlineLevel="0" collapsed="false">
      <c r="A6" s="19" t="s">
        <v>174</v>
      </c>
      <c r="B6" s="26" t="str">
        <f aca="false">INDEX(Data_Sellers!$B$2:$B$21,MATCH($B$4,Data_Sellers!$A$2:$A$21,0))</f>
        <v>a2ace083ea81f073ff464af92707ad18</v>
      </c>
    </row>
    <row r="7" customFormat="false" ht="15" hidden="false" customHeight="true" outlineLevel="0" collapsed="false">
      <c r="A7" s="19" t="s">
        <v>163</v>
      </c>
      <c r="B7" s="21" t="n">
        <f aca="false">INDEX(Data_Sellers!$C$2:$C$21,MATCH($B$4,Data_Sellers!$A$2:$A$21,0))</f>
        <v>10890.74</v>
      </c>
    </row>
    <row r="8" customFormat="false" ht="15" hidden="false" customHeight="true" outlineLevel="0" collapsed="false">
      <c r="A8" s="19" t="s">
        <v>164</v>
      </c>
      <c r="B8" s="22" t="n">
        <f aca="false">INDEX(Data_Sellers!$D$2:$D$21,MATCH($B$4,Data_Sellers!$A$2:$A$21,0))</f>
        <v>50</v>
      </c>
    </row>
    <row r="9" customFormat="false" ht="15" hidden="false" customHeight="true" outlineLevel="0" collapsed="false">
      <c r="A9" s="19" t="s">
        <v>168</v>
      </c>
      <c r="B9" s="23" t="n">
        <f aca="false">INDEX(Data_Sellers!$E$2:$E$21,MATCH($B$4,Data_Sellers!$A$2:$A$21,0))</f>
        <v>3.82</v>
      </c>
    </row>
    <row r="10" customFormat="false" ht="15" hidden="false" customHeight="true" outlineLevel="0" collapsed="false">
      <c r="A10" s="19" t="s">
        <v>14</v>
      </c>
      <c r="B10" s="24" t="n">
        <f aca="false">INDEX(Data_Sellers!$F$2:$F$21,MATCH($B$4,Data_Sellers!$A$2:$A$21,0))</f>
        <v>0.26</v>
      </c>
    </row>
    <row r="11" customFormat="false" ht="15" hidden="false" customHeight="true" outlineLevel="0" collapsed="false">
      <c r="A11" s="19" t="s">
        <v>175</v>
      </c>
      <c r="B11" s="23" t="n">
        <f aca="false">INDEX(Data_Sellers!$G$2:$G$21,MATCH($B$4,Data_Sellers!$A$2:$A$21,0))</f>
        <v>8.98</v>
      </c>
    </row>
    <row r="13" customFormat="false" ht="15" hidden="false" customHeight="true" outlineLevel="0" collapsed="false">
      <c r="A13" s="16" t="s">
        <v>176</v>
      </c>
    </row>
  </sheetData>
  <dataValidations count="1">
    <dataValidation allowBlank="false" errorStyle="stop" operator="between" showDropDown="false" showErrorMessage="false" showInputMessage="false" sqref="B4" type="list">
      <formula1>Data_Sellers!$A$2:$A$21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2026-07-16T02:34:04Z</dcterms:created>
  <dc:creator>openpyxl</dc:creator>
  <dc:description/>
  <dc:language>en-US</dc:language>
  <cp:lastModifiedBy/>
  <dcterms:modified xsi:type="dcterms:W3CDTF">2026-07-16T02:36:36Z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