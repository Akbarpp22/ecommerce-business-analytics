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7d7f32b28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0c6b65d91e04a8c"/>
    <x:sheet xmlns:r="http://schemas.openxmlformats.org/officeDocument/2006/relationships" name="KPI_Data" sheetId="2" r:id="R29c32b26e59c4c26"/>
    <x:sheet xmlns:r="http://schemas.openxmlformats.org/officeDocument/2006/relationships" name="Monthly_Revenue" sheetId="3" r:id="R19fb9a9877a442f6"/>
    <x:sheet xmlns:r="http://schemas.openxmlformats.org/officeDocument/2006/relationships" name="Category_Analysis" sheetId="4" r:id="Rb432cfb8a0b44a8a"/>
    <x:sheet xmlns:r="http://schemas.openxmlformats.org/officeDocument/2006/relationships" name="State_Analysis" sheetId="5" r:id="R8ddb92528dd24e18"/>
    <x:sheet xmlns:r="http://schemas.openxmlformats.org/officeDocument/2006/relationships" name="Delivery_Review" sheetId="6" r:id="Rfa8026360a84465b"/>
    <x:sheet xmlns:r="http://schemas.openxmlformats.org/officeDocument/2006/relationships" name="Payment_Summary" sheetId="7" r:id="R3923b322a3c14fca"/>
    <x:sheet xmlns:r="http://schemas.openxmlformats.org/officeDocument/2006/relationships" name="Source_Notes" sheetId="8" r:id="R1322a9a05dd7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1"/>
      <x:color rgb="FFFFFF"/>
      <x:name val="Carlito"/>
    </x:font>
    <x:font>
      <x:sz val="10"/>
      <x:color rgb="111827"/>
      <x:name val="Aptos"/>
    </x:font>
    <x:font>
      <x:b/>
      <x:sz val="20"/>
      <x:color rgb="FFFFFF"/>
      <x:name val="Aptos"/>
    </x:font>
    <x:font>
      <x:i/>
      <x:sz val="10"/>
      <x:color rgb="334155"/>
      <x:name val="Aptos"/>
    </x:font>
    <x:font>
      <x:b/>
      <x:sz val="9"/>
      <x:color rgb="64748B"/>
      <x:name val="Aptos"/>
    </x:font>
    <x:font>
      <x:b/>
      <x:sz val="18"/>
      <x:color rgb="1F77B4"/>
      <x:name val="Aptos"/>
    </x:font>
    <x:font>
      <x:sz val="8"/>
      <x:color rgb="64748B"/>
      <x:name val="Aptos"/>
    </x:font>
    <x:font>
      <x:b/>
      <x:sz val="18"/>
      <x:color rgb="0F9F8F"/>
      <x:name val="Aptos"/>
    </x:font>
    <x:font>
      <x:b/>
      <x:sz val="18"/>
      <x:color rgb="F97316"/>
      <x:name val="Aptos"/>
    </x:font>
    <x:font>
      <x:b/>
      <x:sz val="18"/>
      <x:color rgb="DC2626"/>
      <x:name val="Aptos"/>
    </x:font>
    <x:font>
      <x:b/>
      <x:sz val="11"/>
      <x:color rgb="111827"/>
      <x:name val="Aptos"/>
    </x:font>
    <x:font>
      <x:b/>
      <x:sz val="10"/>
      <x:color rgb="111827"/>
      <x:name val="Aptos"/>
    </x:font>
    <x:font>
      <x:b/>
      <x:sz val="12"/>
      <x:color rgb="FFFFFF"/>
      <x:name val="Aptos"/>
    </x:font>
    <x:font>
      <x:b/>
      <x:sz val="10"/>
      <x:color rgb="0F2742"/>
      <x:name val="Aptos"/>
    </x:font>
    <x:font>
      <x:sz val="9"/>
      <x:color rgb="111827"/>
      <x:name val="Aptos"/>
    </x:font>
    <x:font>
      <x:i/>
      <x:sz val="9"/>
      <x:color rgb="92400E"/>
      <x:name val="Aptos"/>
    </x:font>
    <x:font>
      <x:b/>
      <x:sz val="10"/>
      <x:color rgb="FFFFFF"/>
      <x:name val="Aptos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0F2742"/>
      </x:patternFill>
    </x:fill>
    <x:fill>
      <x:patternFill patternType="solid">
        <x:fgColor rgb="F4F7FB"/>
      </x:patternFill>
    </x:fill>
    <x:fill>
      <x:patternFill patternType="solid">
        <x:fgColor rgb="DCEBFA"/>
      </x:patternFill>
    </x:fill>
    <x:fill>
      <x:patternFill patternType="solid">
        <x:fgColor rgb="FFFFFF"/>
      </x:patternFill>
    </x:fill>
    <x:fill>
      <x:patternFill patternType="solid">
        <x:fgColor rgb="EAF3FC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horizontal="left" vertical="center"/>
    </x:xf>
    <x:xf numFmtId="0" fontId="11" fillId="5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horizontal="left" vertical="center"/>
    </x:xf>
    <x:xf numFmtId="0" fontId="12" fillId="5" borderId="0" xfId="0" applyNumberFormat="1" applyFont="1" applyFill="1" applyBorder="1" applyAlignment="1">
      <x:alignment horizontal="left" vertical="center"/>
    </x:xf>
    <x:xf numFmtId="0" fontId="12" fillId="5" borderId="0" xfId="0" applyNumberFormat="1" applyFont="1" applyFill="1" applyBorder="1" applyAlignment="1">
      <x:alignment horizontal="left" vertical="center" wrapText="1"/>
    </x:xf>
    <x:xf numFmtId="0" fontId="12" fillId="5" borderId="1" xfId="0" applyNumberFormat="1" applyFont="1" applyFill="1" applyBorder="1" applyAlignment="1">
      <x:alignment horizontal="left" vertical="center"/>
    </x:xf>
    <x:xf numFmtId="0" fontId="12" fillId="5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vertical="top" wrapText="1"/>
    </x:xf>
    <x:xf numFmtId="0" fontId="15" fillId="5" borderId="1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7" fillId="2" borderId="1" xfId="0" applyNumberFormat="1" applyFont="1" applyFill="1" applyBorder="1" applyAlignment="1">
      <x:alignment horizontal="center" vertical="center" wrapText="1"/>
    </x:xf>
    <x:xf numFmtId="0" fontId="18" fillId="0" borderId="1" xfId="0" applyNumberFormat="1" applyFont="1" applyFill="1" applyBorder="1"/>
    <x:xf numFmtId="0" fontId="18" fillId="0" borderId="1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horizontal="left" vertical="top" wrapText="1"/>
    </x:xf>
    <x:xf numFmtId="0" fontId="15" fillId="5" borderId="0" xfId="0" applyNumberFormat="1" applyFont="1" applyFill="1" applyBorder="1" applyAlignment="1">
      <x:alignment horizontal="left" vertical="center" wrapText="1"/>
    </x:xf>
    <x:xf numFmtId="0" fontId="15" fillId="5" borderId="1" xfId="0" applyNumberFormat="1" applyFont="1" applyFill="1" applyBorder="1" applyAlignment="1">
      <x:alignment horizontal="left" vertical="top" wrapText="1"/>
    </x:xf>
    <x:xf numFmtId="0" fontId="15" fillId="5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064d21c564d83" /><Relationship Type="http://schemas.openxmlformats.org/officeDocument/2006/relationships/theme" Target="/xl/theme/theme1.xml" Id="Rb8466ad10f5449b6" /><Relationship Type="http://schemas.openxmlformats.org/officeDocument/2006/relationships/sharedStrings" Target="/xl/sharedStrings.xml" Id="R9b06518796764859" /><Relationship Type="http://schemas.openxmlformats.org/officeDocument/2006/relationships/worksheet" Target="/xl/worksheets/sheet1.xml" Id="R20c6b65d91e04a8c" /><Relationship Type="http://schemas.openxmlformats.org/officeDocument/2006/relationships/worksheet" Target="/xl/worksheets/sheet2.xml" Id="R29c32b26e59c4c26" /><Relationship Type="http://schemas.openxmlformats.org/officeDocument/2006/relationships/worksheet" Target="/xl/worksheets/sheet3.xml" Id="R19fb9a9877a442f6" /><Relationship Type="http://schemas.openxmlformats.org/officeDocument/2006/relationships/worksheet" Target="/xl/worksheets/sheet4.xml" Id="Rb432cfb8a0b44a8a" /><Relationship Type="http://schemas.openxmlformats.org/officeDocument/2006/relationships/worksheet" Target="/xl/worksheets/sheet5.xml" Id="R8ddb92528dd24e18" /><Relationship Type="http://schemas.openxmlformats.org/officeDocument/2006/relationships/worksheet" Target="/xl/worksheets/sheet6.xml" Id="Rfa8026360a84465b" /><Relationship Type="http://schemas.openxmlformats.org/officeDocument/2006/relationships/worksheet" Target="/xl/worksheets/sheet7.xml" Id="R3923b322a3c14fca" /><Relationship Type="http://schemas.openxmlformats.org/officeDocument/2006/relationships/worksheet" Target="/xl/worksheets/sheet8.xml" Id="R1322a9a05dd74c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136a5dabcf4288" /><Relationship Type="http://schemas.openxmlformats.org/officeDocument/2006/relationships/chart" Target="/xl/drawings/charts/chart2.xml" Id="R6430944fabd04be0" /><Relationship Type="http://schemas.openxmlformats.org/officeDocument/2006/relationships/chart" Target="/xl/drawings/charts/chart3.xml" Id="R391ed642f5194cbf" /><Relationship Type="http://schemas.openxmlformats.org/officeDocument/2006/relationships/chart" Target="/xl/drawings/charts/chart4.xml" Id="R2f44d032e5a848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'Monthly_Revenue'!$A$2:$A$25</c:f>
              <c:strCache>
                <c:ptCount val="0"/>
              </c:strCache>
            </c:strRef>
          </c:cat>
          <c:val>
            <c:numRef>
              <c:f>'Monthly_Revenue'!$B$2:$B$25</c:f>
              <c:numCache>
                <c:formatCode>0.0,, "M"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 &quot;M&quot;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Categories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cat>
            <c:strRef>
              <c:f>'Category_Analysis'!$A$2:$A$11</c:f>
              <c:strCache>
                <c:ptCount val="0"/>
              </c:strCache>
            </c:strRef>
          </c:cat>
          <c:val>
            <c:numRef>
              <c:f>'Category_Analysis'!$B$2:$B$11</c:f>
              <c:numCache>
                <c:formatCode>0.0,, "M"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 &quot;M&quot;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Late Delivery Rate by Review Score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Late Delivery Rate</c:v>
          </c:tx>
          <c:cat>
            <c:strRef>
              <c:f>'Delivery_Review'!$A$2:$A$6</c:f>
              <c:strCache>
                <c:ptCount val="0"/>
              </c:strCache>
            </c:strRef>
          </c:cat>
          <c:val>
            <c:numRef>
              <c:f>'Delivery_Review'!$E$2:$E$6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Review Score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Customer States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cat>
            <c:strRef>
              <c:f>'State_Analysis'!$A$2:$A$11</c:f>
              <c:strCache>
                <c:ptCount val="0"/>
              </c:strCache>
            </c:strRef>
          </c:cat>
          <c:val>
            <c:numRef>
              <c:f>'State_Analysis'!$B$2:$B$11</c:f>
              <c:numCache>
                <c:formatCode>0.0,, "M"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 &quot;M&quot;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136a5dabcf4288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30944fabd04be0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1ed642f5194cbf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16</xdr:col>
      <xdr:colOff>0</xdr:colOff>
      <xdr:row>51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44d032e5a848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c3049ee7ad463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8" customHeight="1">
      <x:c r="A1" s="22" t="str">
        <x:v>E-commerce Business Analytics Dashboard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2" ht="28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3" ht="22" customHeight="1">
      <x:c r="A3" s="28" t="str">
        <x:v>Executive dashboard for sales performance, customer distribution, delivery quality, review score, and business recommendations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</x:row>
    <x:row r="5" ht="22" customHeight="1">
      <x:c r="A5" s="38" t="str">
        <x:v>Total Revenue</x:v>
      </x:c>
      <x:c r="B5" s="38"/>
      <x:c r="C5" s="38"/>
      <x:c r="D5" s="38"/>
      <x:c r="E5" s="38" t="str">
        <x:v>Delivered Orders</x:v>
      </x:c>
      <x:c r="F5" s="38"/>
      <x:c r="G5" s="38"/>
      <x:c r="H5" s="38"/>
      <x:c r="I5" s="38" t="str">
        <x:v>Avg Order Value</x:v>
      </x:c>
      <x:c r="J5" s="38"/>
      <x:c r="K5" s="38"/>
      <x:c r="L5" s="38"/>
      <x:c r="M5" s="38" t="str">
        <x:v>Avg Review Score</x:v>
      </x:c>
      <x:c r="N5" s="38"/>
      <x:c r="O5" s="38"/>
      <x:c r="P5" s="38"/>
    </x:row>
    <x:row r="6" ht="22" customHeight="1">
      <x:c r="A6" s="40" t="str">
        <x:f>TEXT(KPI_Data!$B$2/1000000,"0.00")&amp;"M"</x:f>
        <x:v>17.90M</x:v>
      </x:c>
      <x:c r="B6" s="40"/>
      <x:c r="C6" s="40"/>
      <x:c r="D6" s="40"/>
      <x:c r="E6" s="44" t="str">
        <x:f>TEXT(KPI_Data!$B$3/1000,"0.00")&amp;"K"</x:f>
        <x:v>96.55K</x:v>
      </x:c>
      <x:c r="F6" s="44"/>
      <x:c r="G6" s="44"/>
      <x:c r="H6" s="44"/>
      <x:c r="I6" s="46" t="str">
        <x:f>TEXT(KPI_Data!$B$5,"0.00")</x:f>
        <x:v>185.40</x:v>
      </x:c>
      <x:c r="J6" s="46"/>
      <x:c r="K6" s="46"/>
      <x:c r="L6" s="46"/>
      <x:c r="M6" s="40" t="str">
        <x:f>TEXT(KPI_Data!$B$6,"0.00")&amp;"/5"</x:f>
        <x:v>3.83/5</x:v>
      </x:c>
      <x:c r="N6" s="40"/>
      <x:c r="O6" s="40"/>
      <x:c r="P6" s="40"/>
    </x:row>
    <x:row r="7" ht="22" customHeight="1">
      <x:c r="A7" s="40"/>
      <x:c r="B7" s="40"/>
      <x:c r="C7" s="40"/>
      <x:c r="D7" s="40"/>
      <x:c r="E7" s="44"/>
      <x:c r="F7" s="44"/>
      <x:c r="G7" s="44"/>
      <x:c r="H7" s="44"/>
      <x:c r="I7" s="46"/>
      <x:c r="J7" s="46"/>
      <x:c r="K7" s="46"/>
      <x:c r="L7" s="46"/>
      <x:c r="M7" s="40"/>
      <x:c r="N7" s="40"/>
      <x:c r="O7" s="40"/>
      <x:c r="P7" s="40"/>
    </x:row>
    <x:row r="8" ht="22" customHeight="1">
      <x:c r="A8" s="42" t="str">
        <x:v>Gross sales + freight</x:v>
      </x:c>
      <x:c r="B8" s="42"/>
      <x:c r="C8" s="42"/>
      <x:c r="D8" s="42"/>
      <x:c r="E8" s="42" t="str">
        <x:v>Completed transactions</x:v>
      </x:c>
      <x:c r="F8" s="42"/>
      <x:c r="G8" s="42"/>
      <x:c r="H8" s="42"/>
      <x:c r="I8" s="42" t="str">
        <x:v>Revenue per order</x:v>
      </x:c>
      <x:c r="J8" s="42"/>
      <x:c r="K8" s="42"/>
      <x:c r="L8" s="42"/>
      <x:c r="M8" s="42" t="str">
        <x:v>Customer satisfaction</x:v>
      </x:c>
      <x:c r="N8" s="42"/>
      <x:c r="O8" s="42"/>
      <x:c r="P8" s="42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</x:row>
    <x:row r="10" ht="22" customHeight="1">
      <x:c r="A10" s="38" t="str">
        <x:v>Late Delivery Rate</x:v>
      </x:c>
      <x:c r="B10" s="38"/>
      <x:c r="C10" s="38"/>
      <x:c r="D10" s="38"/>
      <x:c r="E10" s="38" t="str">
        <x:v>Avg Delivery Days</x:v>
      </x:c>
      <x:c r="F10" s="38"/>
      <x:c r="G10" s="38"/>
      <x:c r="H10" s="38"/>
      <x:c r="I10" s="38" t="str">
        <x:v>Unique Customers</x:v>
      </x:c>
      <x:c r="J10" s="38"/>
      <x:c r="K10" s="38"/>
      <x:c r="L10" s="38"/>
      <x:c r="M10" s="38" t="str">
        <x:v>Top State</x:v>
      </x:c>
      <x:c r="N10" s="38"/>
      <x:c r="O10" s="38"/>
      <x:c r="P10" s="38"/>
    </x:row>
    <x:row r="11" ht="22" customHeight="1">
      <x:c r="A11" s="48" t="str">
        <x:f>TEXT(KPI_Data!$B$7,"0.00%")</x:f>
        <x:v>24.18%</x:v>
      </x:c>
      <x:c r="B11" s="48"/>
      <x:c r="C11" s="48"/>
      <x:c r="D11" s="48"/>
      <x:c r="E11" s="46" t="str">
        <x:f>TEXT(KPI_Data!$B$8,"0.00")</x:f>
        <x:v>9.15</x:v>
      </x:c>
      <x:c r="F11" s="46"/>
      <x:c r="G11" s="46"/>
      <x:c r="H11" s="46"/>
      <x:c r="I11" s="44" t="str">
        <x:f>TEXT(KPI_Data!$B$4/1000,"0.00")&amp;"K"</x:f>
        <x:v>96.55K</x:v>
      </x:c>
      <x:c r="J11" s="44"/>
      <x:c r="K11" s="44"/>
      <x:c r="L11" s="44"/>
      <x:c r="M11" s="40" t="str">
        <x:f>INDEX(State_Analysis!$A$2:$A$28,MATCH(MAX(State_Analysis!$B$2:$B$28),State_Analysis!$B$2:$B$28,0))</x:f>
        <x:v>SP</x:v>
      </x:c>
      <x:c r="N11" s="40"/>
      <x:c r="O11" s="40"/>
      <x:c r="P11" s="40"/>
    </x:row>
    <x:row r="12" ht="22" customHeight="1">
      <x:c r="A12" s="48"/>
      <x:c r="B12" s="48"/>
      <x:c r="C12" s="48"/>
      <x:c r="D12" s="48"/>
      <x:c r="E12" s="46"/>
      <x:c r="F12" s="46"/>
      <x:c r="G12" s="46"/>
      <x:c r="H12" s="46"/>
      <x:c r="I12" s="44"/>
      <x:c r="J12" s="44"/>
      <x:c r="K12" s="44"/>
      <x:c r="L12" s="44"/>
      <x:c r="M12" s="40"/>
      <x:c r="N12" s="40"/>
      <x:c r="O12" s="40"/>
      <x:c r="P12" s="40"/>
    </x:row>
    <x:row r="13" ht="22" customHeight="1">
      <x:c r="A13" s="42" t="str">
        <x:v>Priority risk metric</x:v>
      </x:c>
      <x:c r="B13" s="42"/>
      <x:c r="C13" s="42"/>
      <x:c r="D13" s="42"/>
      <x:c r="E13" s="42" t="str">
        <x:v>Purchase to delivery</x:v>
      </x:c>
      <x:c r="F13" s="42"/>
      <x:c r="G13" s="42"/>
      <x:c r="H13" s="42"/>
      <x:c r="I13" s="42" t="str">
        <x:v>Distinct customer IDs</x:v>
      </x:c>
      <x:c r="J13" s="42"/>
      <x:c r="K13" s="42"/>
      <x:c r="L13" s="42"/>
      <x:c r="M13" s="42" t="str">
        <x:v>Highest revenue region</x:v>
      </x:c>
      <x:c r="N13" s="42"/>
      <x:c r="O13" s="42"/>
      <x:c r="P13" s="42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</x:row>
    <x:row r="15" ht="22" customHeight="1">
      <x:c r="A15" s="55" t="str">
        <x:v>Monthly Revenue Trend  |  Revenue movement by month</x:v>
      </x:c>
      <x:c r="B15" s="55"/>
      <x:c r="C15" s="55"/>
      <x:c r="D15" s="55"/>
      <x:c r="E15" s="55"/>
      <x:c r="F15" s="55"/>
      <x:c r="G15" s="55"/>
      <x:c r="H15" s="55"/>
      <x:c r="I15" s="55" t="str">
        <x:v>Top 10 Categories by Revenue  |  Main revenue drivers</x:v>
      </x:c>
      <x:c r="J15" s="55"/>
      <x:c r="K15" s="55"/>
      <x:c r="L15" s="55"/>
      <x:c r="M15" s="55"/>
      <x:c r="N15" s="55"/>
      <x:c r="O15" s="55"/>
      <x:c r="P15" s="55"/>
    </x:row>
    <x:row r="16" ht="22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</x:row>
    <x:row r="17" ht="22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</x:row>
    <x:row r="18" ht="22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</x:row>
    <x:row r="19" ht="22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</x:row>
    <x:row r="20" ht="22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</x:row>
    <x:row r="21" ht="22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</x:row>
    <x:row r="22" ht="22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</x:row>
    <x:row r="23" ht="22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</x:row>
    <x:row r="24" ht="22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</x:row>
    <x:row r="25" ht="22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</x:row>
    <x:row r="26" ht="22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</x:row>
    <x:row r="27" ht="22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</x:row>
    <x:row r="28" ht="22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</x:row>
    <x:row r="29" ht="22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</x:row>
    <x:row r="30" ht="22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</x:row>
    <x:row r="31" ht="22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</x:row>
    <x:row r="32" ht="22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</x:row>
    <x:row r="34" ht="22" customHeight="1">
      <x:c r="A34" s="55" t="str">
        <x:v>Late Delivery Rate by Review Score  |  Delivery risk and satisfaction</x:v>
      </x:c>
      <x:c r="B34" s="55"/>
      <x:c r="C34" s="55"/>
      <x:c r="D34" s="55"/>
      <x:c r="E34" s="55"/>
      <x:c r="F34" s="55"/>
      <x:c r="G34" s="55"/>
      <x:c r="H34" s="55"/>
      <x:c r="I34" s="55" t="str">
        <x:v>Top 10 Customer States by Revenue  |  Geographic concentration</x:v>
      </x:c>
      <x:c r="J34" s="55"/>
      <x:c r="K34" s="55"/>
      <x:c r="L34" s="55"/>
      <x:c r="M34" s="55"/>
      <x:c r="N34" s="55"/>
      <x:c r="O34" s="55"/>
      <x:c r="P34" s="55"/>
    </x:row>
    <x:row r="35" ht="22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</x:row>
    <x:row r="36" ht="22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</x:row>
    <x:row r="37" ht="22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</x:row>
    <x:row r="38" ht="22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</x:row>
    <x:row r="39" ht="22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</x:row>
    <x:row r="40" ht="22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</x:row>
    <x:row r="41" ht="22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</x:row>
    <x:row r="42" ht="22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</x:row>
    <x:row r="43" ht="22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</x:row>
    <x:row r="44" ht="22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</x:row>
    <x:row r="45" ht="22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</x:row>
    <x:row r="46" ht="22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</x:row>
    <x:row r="47" ht="22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</x:row>
    <x:row r="48" ht="22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</x:row>
    <x:row r="49" ht="22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</x:row>
    <x:row r="50" ht="22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</x:row>
    <x:row r="51" ht="22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</x:row>
    <x:row r="53" ht="22" customHeight="1">
      <x:c r="A53" s="60" t="str">
        <x:v>Key Insights</x:v>
      </x:c>
      <x:c r="B53" s="60"/>
      <x:c r="C53" s="60"/>
      <x:c r="D53" s="60"/>
      <x:c r="E53" s="60"/>
      <x:c r="F53" s="60"/>
      <x:c r="G53" s="60"/>
      <x:c r="H53" s="60"/>
      <x:c r="I53" s="60" t="str">
        <x:v>Business Recommendations</x:v>
      </x:c>
      <x:c r="J53" s="60"/>
      <x:c r="K53" s="60"/>
      <x:c r="L53" s="60"/>
      <x:c r="M53" s="60"/>
      <x:c r="N53" s="60"/>
      <x:c r="O53" s="60"/>
      <x:c r="P53" s="60"/>
    </x:row>
    <x:row r="54" ht="42" customHeight="1">
      <x:c r="A54" s="66" t="n">
        <x:v>1</x:v>
      </x:c>
      <x:c r="B54" s="87" t="str">
        <x:v>Revenue is concentrated in a few high-performing categories, led by computers_accessories, watches_gifts, and health_beauty.</x:v>
      </x:c>
      <x:c r="C54" s="87"/>
      <x:c r="D54" s="87"/>
      <x:c r="E54" s="87"/>
      <x:c r="F54" s="87"/>
      <x:c r="G54" s="87"/>
      <x:c r="H54" s="87"/>
      <x:c r="I54" s="66" t="n">
        <x:v>1</x:v>
      </x:c>
      <x:c r="J54" s="87" t="str">
        <x:v>Monitor seller SLA weekly and flag sellers with recurring delivery delays.</x:v>
      </x:c>
      <x:c r="K54" s="87"/>
      <x:c r="L54" s="87"/>
      <x:c r="M54" s="87"/>
      <x:c r="N54" s="87"/>
      <x:c r="O54" s="87"/>
      <x:c r="P54" s="87"/>
    </x:row>
    <x:row r="55" ht="42" customHeight="1">
      <x:c r="A55" s="66" t="n">
        <x:v>2</x:v>
      </x:c>
      <x:c r="B55" s="87" t="str">
        <x:v>Late delivery is associated with lower customer review scores. Reviews 1-3 have materially higher late delivery rates.</x:v>
      </x:c>
      <x:c r="C55" s="87"/>
      <x:c r="D55" s="87"/>
      <x:c r="E55" s="87"/>
      <x:c r="F55" s="87"/>
      <x:c r="G55" s="87"/>
      <x:c r="H55" s="87"/>
      <x:c r="I55" s="66" t="n">
        <x:v>2</x:v>
      </x:c>
      <x:c r="J55" s="87" t="str">
        <x:v>Prioritize high-revenue categories with strong fulfillment quality for marketing campaigns.</x:v>
      </x:c>
      <x:c r="K55" s="87"/>
      <x:c r="L55" s="87"/>
      <x:c r="M55" s="87"/>
      <x:c r="N55" s="87"/>
      <x:c r="O55" s="87"/>
      <x:c r="P55" s="87"/>
    </x:row>
    <x:row r="56" ht="42" customHeight="1">
      <x:c r="A56" s="66" t="n">
        <x:v>3</x:v>
      </x:c>
      <x:c r="B56" s="87" t="str">
        <x:v>SP, RJ, and MG contribute the majority of revenue, making them priority markets for retention and logistics optimization.</x:v>
      </x:c>
      <x:c r="C56" s="87"/>
      <x:c r="D56" s="87"/>
      <x:c r="E56" s="87"/>
      <x:c r="F56" s="87"/>
      <x:c r="G56" s="87"/>
      <x:c r="H56" s="87"/>
      <x:c r="I56" s="66" t="n">
        <x:v>3</x:v>
      </x:c>
      <x:c r="J56" s="87" t="str">
        <x:v>Focus logistics improvement in high-order states while tracking late delivery and review score together.</x:v>
      </x:c>
      <x:c r="K56" s="87"/>
      <x:c r="L56" s="87"/>
      <x:c r="M56" s="87"/>
      <x:c r="N56" s="87"/>
      <x:c r="O56" s="87"/>
      <x:c r="P56" s="87"/>
    </x:row>
    <x:row r="57" ht="22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</x:row>
    <x:row r="58" ht="22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</x:row>
    <x:row r="59" ht="30" customHeight="1">
      <x:c r="A59" s="76" t="str">
        <x:v>Portfolio note: this workbook uses synthetic Olist-style marketplace data generated for a portfolio package. Replace data/raw with the real Olist dataset and rerun the analysis before claiming use of the original Kaggle dataset.</x:v>
      </x:c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</x:row>
    <x:row r="60" ht="30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</x:row>
    <x:row r="61" ht="22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</x:row>
    <x:row r="62" ht="22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</x:row>
  </x:sheetData>
  <x:mergeCells>
    <x:mergeCell ref="A1:P2"/>
    <x:mergeCell ref="A3:P3"/>
    <x:mergeCell ref="A5:D5"/>
    <x:mergeCell ref="A6:D7"/>
    <x:mergeCell ref="A8:D8"/>
    <x:mergeCell ref="E5:H5"/>
    <x:mergeCell ref="E6:H7"/>
    <x:mergeCell ref="E8:H8"/>
    <x:mergeCell ref="I5:L5"/>
    <x:mergeCell ref="I6:L7"/>
    <x:mergeCell ref="I8:L8"/>
    <x:mergeCell ref="M5:P5"/>
    <x:mergeCell ref="M6:P7"/>
    <x:mergeCell ref="M8:P8"/>
    <x:mergeCell ref="A10:D10"/>
    <x:mergeCell ref="A11:D12"/>
    <x:mergeCell ref="A13:D13"/>
    <x:mergeCell ref="E10:H10"/>
    <x:mergeCell ref="E11:H12"/>
    <x:mergeCell ref="E13:H13"/>
    <x:mergeCell ref="I10:L10"/>
    <x:mergeCell ref="I11:L12"/>
    <x:mergeCell ref="I13:L13"/>
    <x:mergeCell ref="M10:P10"/>
    <x:mergeCell ref="M11:P12"/>
    <x:mergeCell ref="M13:P13"/>
    <x:mergeCell ref="A15:H15"/>
    <x:mergeCell ref="I15:P15"/>
    <x:mergeCell ref="A34:H34"/>
    <x:mergeCell ref="I34:P34"/>
    <x:mergeCell ref="A53:H53"/>
    <x:mergeCell ref="I53:P53"/>
    <x:mergeCell ref="A59:P60"/>
    <x:mergeCell ref="B54:H54"/>
    <x:mergeCell ref="J54:P54"/>
    <x:mergeCell ref="B55:H55"/>
    <x:mergeCell ref="J55:P55"/>
    <x:mergeCell ref="B56:H56"/>
    <x:mergeCell ref="J56:P56"/>
  </x:mergeCells>
  <x:pageMargins left="0.7" right="0.7" top="0.75" bottom="0.75" header="0.3" footer="0.3"/>
  <x:drawing xmlns:r="http://schemas.openxmlformats.org/officeDocument/2006/relationships" r:id="Reac3049ee7ad4634"/>
</x:worksheet>
</file>

<file path=xl/worksheets/sheet2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9.420000076293945" hidden="0" customWidth="1"/>
  </x:cols>
  <x:sheetData>
    <x:row r="1">
      <x:c r="A1" s="80" t="str">
        <x:v>metric</x:v>
      </x:c>
      <x:c r="B1" s="80" t="str">
        <x:v>value</x:v>
      </x:c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2" t="str">
        <x:v>Total Revenue</x:v>
      </x:c>
      <x:c r="B2" s="82" t="n">
        <x:v>17900525.67</x:v>
      </x:c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2" t="str">
        <x:v>Delivered Orders</x:v>
      </x:c>
      <x:c r="B3" s="82" t="n">
        <x:v>96551</x:v>
      </x:c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2" t="str">
        <x:v>Unique Customers</x:v>
      </x:c>
      <x:c r="B4" s="82" t="n">
        <x:v>96551</x:v>
      </x:c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2" t="str">
        <x:v>Average Order Value</x:v>
      </x:c>
      <x:c r="B5" s="82" t="n">
        <x:v>185.39969207983347</x:v>
      </x:c>
      <x:c r="C5" s="81"/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2" t="str">
        <x:v>Average Review Score</x:v>
      </x:c>
      <x:c r="B6" s="82" t="n">
        <x:v>3.833145177160257</x:v>
      </x:c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2" t="str">
        <x:v>Late Delivery Rate</x:v>
      </x:c>
      <x:c r="B7" s="82" t="n">
        <x:v>0.24175824175824176</x:v>
      </x:c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2" t="str">
        <x:v>Average Delivery Days</x:v>
      </x:c>
      <x:c r="B8" s="82" t="n">
        <x:v>9.149112904061067</x:v>
      </x:c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8.609999656677246" hidden="0" customWidth="1"/>
    <x:col min="3" max="3" width="9.149999618530273" hidden="0" customWidth="1"/>
    <x:col min="4" max="4" width="11.979999542236328" hidden="0" customWidth="1"/>
    <x:col min="5" max="5" width="13.1899995803833" hidden="0" customWidth="1"/>
    <x:col min="6" max="6" width="13.460000038146973" hidden="0" customWidth="1"/>
    <x:col min="7" max="7" width="9.420000076293945" hidden="0" customWidth="1"/>
  </x:cols>
  <x:sheetData>
    <x:row r="1">
      <x:c r="A1" s="80" t="str">
        <x:v>order_month</x:v>
      </x:c>
      <x:c r="B1" s="80" t="str">
        <x:v>revenue</x:v>
      </x:c>
      <x:c r="C1" s="80" t="str">
        <x:v>total_orders</x:v>
      </x:c>
      <x:c r="D1" s="80" t="str">
        <x:v>total_customers</x:v>
      </x:c>
      <x:c r="E1" s="80" t="str">
        <x:v>avg_review_score</x:v>
      </x:c>
      <x:c r="F1" s="80" t="str">
        <x:v>late_delivery_rate</x:v>
      </x:c>
      <x:c r="G1" s="80" t="str">
        <x:v>aov</x:v>
      </x:c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2" t="str">
        <x:v>2016-09</x:v>
      </x:c>
      <x:c r="B2" s="82" t="n">
        <x:v>24367.4</x:v>
      </x:c>
      <x:c r="C2" s="82" t="n">
        <x:v>120</x:v>
      </x:c>
      <x:c r="D2" s="82" t="n">
        <x:v>120</x:v>
      </x:c>
      <x:c r="E2" s="82" t="n">
        <x:v>3.507042253521127</x:v>
      </x:c>
      <x:c r="F2" s="82" t="n">
        <x:v>0.2887323943661972</x:v>
      </x:c>
      <x:c r="G2" s="82" t="n">
        <x:v>203.06166666666667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2" t="str">
        <x:v>2016-10</x:v>
      </x:c>
      <x:c r="B3" s="82" t="n">
        <x:v>79530.25</x:v>
      </x:c>
      <x:c r="C3" s="82" t="n">
        <x:v>430</x:v>
      </x:c>
      <x:c r="D3" s="82" t="n">
        <x:v>430</x:v>
      </x:c>
      <x:c r="E3" s="82" t="n">
        <x:v>3.753479125248509</x:v>
      </x:c>
      <x:c r="F3" s="82" t="n">
        <x:v>0.2644135188866799</x:v>
      </x:c>
      <x:c r="G3" s="82" t="n">
        <x:v>184.95406976744187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2" t="str">
        <x:v>2016-11</x:v>
      </x:c>
      <x:c r="B4" s="82" t="n">
        <x:v>143085.49</x:v>
      </x:c>
      <x:c r="C4" s="82" t="n">
        <x:v>755</x:v>
      </x:c>
      <x:c r="D4" s="82" t="n">
        <x:v>755</x:v>
      </x:c>
      <x:c r="E4" s="82" t="n">
        <x:v>3.895761741122566</x:v>
      </x:c>
      <x:c r="F4" s="82" t="n">
        <x:v>0.2256586483390607</x:v>
      </x:c>
      <x:c r="G4" s="82" t="n">
        <x:v>189.51720529801324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2" t="str">
        <x:v>2016-12</x:v>
      </x:c>
      <x:c r="B5" s="82" t="n">
        <x:v>216396.36</x:v>
      </x:c>
      <x:c r="C5" s="82" t="n">
        <x:v>1160</x:v>
      </x:c>
      <x:c r="D5" s="82" t="n">
        <x:v>1160</x:v>
      </x:c>
      <x:c r="E5" s="82" t="n">
        <x:v>3.856929955290611</x:v>
      </x:c>
      <x:c r="F5" s="82" t="n">
        <x:v>0.2414307004470939</x:v>
      </x:c>
      <x:c r="G5" s="82" t="n">
        <x:v>186.54858620689654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2" t="str">
        <x:v>2017-01</x:v>
      </x:c>
      <x:c r="B6" s="82" t="n">
        <x:v>289073.93</x:v>
      </x:c>
      <x:c r="C6" s="82" t="n">
        <x:v>1591</x:v>
      </x:c>
      <x:c r="D6" s="82" t="n">
        <x:v>1591</x:v>
      </x:c>
      <x:c r="E6" s="82" t="n">
        <x:v>3.8638110928061504</x:v>
      </x:c>
      <x:c r="F6" s="82" t="n">
        <x:v>0.2443712246018671</x:v>
      </x:c>
      <x:c r="G6" s="82" t="n">
        <x:v>181.693230672533</x:v>
      </x:c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2" t="str">
        <x:v>2017-02</x:v>
      </x:c>
      <x:c r="B7" s="82" t="n">
        <x:v>339718.38</x:v>
      </x:c>
      <x:c r="C7" s="82" t="n">
        <x:v>1851</x:v>
      </x:c>
      <x:c r="D7" s="82" t="n">
        <x:v>1851</x:v>
      </x:c>
      <x:c r="E7" s="82" t="n">
        <x:v>3.8220539517274017</x:v>
      </x:c>
      <x:c r="F7" s="82" t="n">
        <x:v>0.24372929484145764</x:v>
      </x:c>
      <x:c r="G7" s="82" t="n">
        <x:v>183.5323500810373</x:v>
      </x:c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2" t="str">
        <x:v>2017-03</x:v>
      </x:c>
      <x:c r="B8" s="82" t="n">
        <x:v>438741.8</x:v>
      </x:c>
      <x:c r="C8" s="82" t="n">
        <x:v>2435</x:v>
      </x:c>
      <x:c r="D8" s="82" t="n">
        <x:v>2435</x:v>
      </x:c>
      <x:c r="E8" s="82" t="n">
        <x:v>3.846126255380201</x:v>
      </x:c>
      <x:c r="F8" s="82" t="n">
        <x:v>0.23637015781922524</x:v>
      </x:c>
      <x:c r="G8" s="82" t="n">
        <x:v>180.18143737166324</x:v>
      </x:c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2" t="str">
        <x:v>2017-04</x:v>
      </x:c>
      <x:c r="B9" s="82" t="n">
        <x:v>509440.18</x:v>
      </x:c>
      <x:c r="C9" s="82" t="n">
        <x:v>2744</x:v>
      </x:c>
      <x:c r="D9" s="82" t="n">
        <x:v>2744</x:v>
      </x:c>
      <x:c r="E9" s="82" t="n">
        <x:v>3.8177511054958937</x:v>
      </x:c>
      <x:c r="F9" s="82" t="n">
        <x:v>0.25300063171193937</x:v>
      </x:c>
      <x:c r="G9" s="82" t="n">
        <x:v>185.65604227405248</x:v>
      </x:c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2" t="str">
        <x:v>2017-05</x:v>
      </x:c>
      <x:c r="B10" s="82" t="n">
        <x:v>582457</x:v>
      </x:c>
      <x:c r="C10" s="82" t="n">
        <x:v>3129</x:v>
      </x:c>
      <x:c r="D10" s="82" t="n">
        <x:v>3129</x:v>
      </x:c>
      <x:c r="E10" s="82" t="n">
        <x:v>3.8468493150684933</x:v>
      </x:c>
      <x:c r="F10" s="82" t="n">
        <x:v>0.236986301369863</x:v>
      </x:c>
      <x:c r="G10" s="82" t="n">
        <x:v>186.14797059763504</x:v>
      </x:c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2" t="str">
        <x:v>2017-06</x:v>
      </x:c>
      <x:c r="B11" s="82" t="n">
        <x:v>636554.15</x:v>
      </x:c>
      <x:c r="C11" s="82" t="n">
        <x:v>3457</x:v>
      </x:c>
      <x:c r="D11" s="82" t="n">
        <x:v>3457</x:v>
      </x:c>
      <x:c r="E11" s="82" t="n">
        <x:v>3.8385155466399197</x:v>
      </x:c>
      <x:c r="F11" s="82" t="n">
        <x:v>0.24147442326980942</x:v>
      </x:c>
      <x:c r="G11" s="82" t="n">
        <x:v>184.1348423488574</x:v>
      </x:c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2" t="str">
        <x:v>2017-07</x:v>
      </x:c>
      <x:c r="B12" s="82" t="n">
        <x:v>746312.1</x:v>
      </x:c>
      <x:c r="C12" s="82" t="n">
        <x:v>3960</x:v>
      </x:c>
      <x:c r="D12" s="82" t="n">
        <x:v>3960</x:v>
      </x:c>
      <x:c r="E12" s="82" t="n">
        <x:v>3.8176663031624862</x:v>
      </x:c>
      <x:c r="F12" s="82" t="n">
        <x:v>0.23642311886586695</x:v>
      </x:c>
      <x:c r="G12" s="82" t="n">
        <x:v>188.46265151515152</x:v>
      </x:c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2" t="str">
        <x:v>2017-08</x:v>
      </x:c>
      <x:c r="B13" s="82" t="n">
        <x:v>786994.01</x:v>
      </x:c>
      <x:c r="C13" s="82" t="n">
        <x:v>4302</x:v>
      </x:c>
      <x:c r="D13" s="82" t="n">
        <x:v>4302</x:v>
      </x:c>
      <x:c r="E13" s="82" t="n">
        <x:v>3.8611336032388666</x:v>
      </x:c>
      <x:c r="F13" s="82" t="n">
        <x:v>0.2380566801619433</x:v>
      </x:c>
      <x:c r="G13" s="82" t="n">
        <x:v>182.9367759181776</x:v>
      </x:c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2" t="str">
        <x:v>2017-09</x:v>
      </x:c>
      <x:c r="B14" s="82" t="n">
        <x:v>862952.5</x:v>
      </x:c>
      <x:c r="C14" s="82" t="n">
        <x:v>4621</x:v>
      </x:c>
      <x:c r="D14" s="82" t="n">
        <x:v>4621</x:v>
      </x:c>
      <x:c r="E14" s="82" t="n">
        <x:v>3.8206378986866794</x:v>
      </x:c>
      <x:c r="F14" s="82" t="n">
        <x:v>0.24146341463414633</x:v>
      </x:c>
      <x:c r="G14" s="82" t="n">
        <x:v>186.74583423501406</x:v>
      </x:c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2" t="str">
        <x:v>2017-10</x:v>
      </x:c>
      <x:c r="B15" s="82" t="n">
        <x:v>945719.03</x:v>
      </x:c>
      <x:c r="C15" s="82" t="n">
        <x:v>5146</x:v>
      </x:c>
      <x:c r="D15" s="82" t="n">
        <x:v>5146</x:v>
      </x:c>
      <x:c r="E15" s="82" t="n">
        <x:v>3.856899488926746</x:v>
      </x:c>
      <x:c r="F15" s="82" t="n">
        <x:v>0.2424190800681431</x:v>
      </x:c>
      <x:c r="G15" s="82" t="n">
        <x:v>183.77750291488536</x:v>
      </x:c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2" t="str">
        <x:v>2017-11</x:v>
      </x:c>
      <x:c r="B16" s="82" t="n">
        <x:v>993073.52</x:v>
      </x:c>
      <x:c r="C16" s="82" t="n">
        <x:v>5270</x:v>
      </x:c>
      <x:c r="D16" s="82" t="n">
        <x:v>5270</x:v>
      </x:c>
      <x:c r="E16" s="82" t="n">
        <x:v>3.8365905731647234</x:v>
      </x:c>
      <x:c r="F16" s="82" t="n">
        <x:v>0.23731318771555263</x:v>
      </x:c>
      <x:c r="G16" s="82" t="n">
        <x:v>188.4389981024668</x:v>
      </x:c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2" t="str">
        <x:v>2017-12</x:v>
      </x:c>
      <x:c r="B17" s="82" t="n">
        <x:v>1078616.11</x:v>
      </x:c>
      <x:c r="C17" s="82" t="n">
        <x:v>5780</x:v>
      </x:c>
      <x:c r="D17" s="82" t="n">
        <x:v>5780</x:v>
      </x:c>
      <x:c r="E17" s="82" t="n">
        <x:v>3.8630755341558833</x:v>
      </x:c>
      <x:c r="F17" s="82" t="n">
        <x:v>0.23322299127294613</x:v>
      </x:c>
      <x:c r="G17" s="82" t="n">
        <x:v>186.61178373702424</x:v>
      </x:c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2" t="str">
        <x:v>2018-01</x:v>
      </x:c>
      <x:c r="B18" s="82" t="n">
        <x:v>1143991.9</x:v>
      </x:c>
      <x:c r="C18" s="82" t="n">
        <x:v>6128</x:v>
      </x:c>
      <x:c r="D18" s="82" t="n">
        <x:v>6128</x:v>
      </x:c>
      <x:c r="E18" s="82" t="n">
        <x:v>3.8423721650936753</x:v>
      </x:c>
      <x:c r="F18" s="82" t="n">
        <x:v>0.24749964783772363</x:v>
      </x:c>
      <x:c r="G18" s="82" t="n">
        <x:v>186.682751305483</x:v>
      </x:c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2" t="str">
        <x:v>2018-02</x:v>
      </x:c>
      <x:c r="B19" s="82" t="n">
        <x:v>1074526.46</x:v>
      </x:c>
      <x:c r="C19" s="82" t="n">
        <x:v>5817</x:v>
      </x:c>
      <x:c r="D19" s="82" t="n">
        <x:v>5817</x:v>
      </x:c>
      <x:c r="E19" s="82" t="n">
        <x:v>3.8251080960190844</x:v>
      </x:c>
      <x:c r="F19" s="82" t="n">
        <x:v>0.2415386909199344</x:v>
      </x:c>
      <x:c r="G19" s="82" t="n">
        <x:v>184.72175691937423</x:v>
      </x:c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2" t="str">
        <x:v>2018-03</x:v>
      </x:c>
      <x:c r="B20" s="82" t="n">
        <x:v>1219838.97</x:v>
      </x:c>
      <x:c r="C20" s="82" t="n">
        <x:v>6598</x:v>
      </x:c>
      <x:c r="D20" s="82" t="n">
        <x:v>6598</x:v>
      </x:c>
      <x:c r="E20" s="82" t="n">
        <x:v>3.7864918032786887</x:v>
      </x:c>
      <x:c r="F20" s="82" t="n">
        <x:v>0.25075409836065576</x:v>
      </x:c>
      <x:c r="G20" s="82" t="n">
        <x:v>184.88011063958774</x:v>
      </x:c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2" t="str">
        <x:v>2018-04</x:v>
      </x:c>
      <x:c r="B21" s="82" t="n">
        <x:v>1195857.76</x:v>
      </x:c>
      <x:c r="C21" s="82" t="n">
        <x:v>6515</x:v>
      </x:c>
      <x:c r="D21" s="82" t="n">
        <x:v>6515</x:v>
      </x:c>
      <x:c r="E21" s="82" t="n">
        <x:v>3.8241539482415394</x:v>
      </x:c>
      <x:c r="F21" s="82" t="n">
        <x:v>0.24220305242203052</x:v>
      </x:c>
      <x:c r="G21" s="82" t="n">
        <x:v>183.55452954719877</x:v>
      </x:c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2" t="str">
        <x:v>2018-05</x:v>
      </x:c>
      <x:c r="B22" s="82" t="n">
        <x:v>1261380.07</x:v>
      </x:c>
      <x:c r="C22" s="82" t="n">
        <x:v>6800</x:v>
      </x:c>
      <x:c r="D22" s="82" t="n">
        <x:v>6800</x:v>
      </x:c>
      <x:c r="E22" s="82" t="n">
        <x:v>3.8292152093201897</x:v>
      </x:c>
      <x:c r="F22" s="82" t="n">
        <x:v>0.23850979388042504</x:v>
      </x:c>
      <x:c r="G22" s="82" t="n">
        <x:v>185.49706911764707</x:v>
      </x:c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2" t="str">
        <x:v>2018-06</x:v>
      </x:c>
      <x:c r="B23" s="82" t="n">
        <x:v>1212695.05</x:v>
      </x:c>
      <x:c r="C23" s="82" t="n">
        <x:v>6541</x:v>
      </x:c>
      <x:c r="D23" s="82" t="n">
        <x:v>6541</x:v>
      </x:c>
      <x:c r="E23" s="82" t="n">
        <x:v>3.8228930145585682</x:v>
      </x:c>
      <x:c r="F23" s="82" t="n">
        <x:v>0.24135167623881396</x:v>
      </x:c>
      <x:c r="G23" s="82" t="n">
        <x:v>185.3990292004281</x:v>
      </x:c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2" t="str">
        <x:v>2018-07</x:v>
      </x:c>
      <x:c r="B24" s="82" t="n">
        <x:v>1156935.68</x:v>
      </x:c>
      <x:c r="C24" s="82" t="n">
        <x:v>6306</x:v>
      </x:c>
      <x:c r="D24" s="82" t="n">
        <x:v>6306</x:v>
      </x:c>
      <x:c r="E24" s="82" t="n">
        <x:v>3.836076817558299</x:v>
      </x:c>
      <x:c r="F24" s="82" t="n">
        <x:v>0.25157750342935525</x:v>
      </x:c>
      <x:c r="G24" s="82" t="n">
        <x:v>183.465854741516</x:v>
      </x:c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2" t="str">
        <x:v>2018-08</x:v>
      </x:c>
      <x:c r="B25" s="82" t="n">
        <x:v>962267.57</x:v>
      </x:c>
      <x:c r="C25" s="82" t="n">
        <x:v>5095</x:v>
      </x:c>
      <x:c r="D25" s="82" t="n">
        <x:v>5095</x:v>
      </x:c>
      <x:c r="E25" s="82" t="n">
        <x:v>3.8342336259284266</x:v>
      </x:c>
      <x:c r="F25" s="82" t="n">
        <x:v>0.24155975692099932</x:v>
      </x:c>
      <x:c r="G25" s="82" t="n">
        <x:v>188.86507752698722</x:v>
      </x:c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360000610351562" hidden="0" customWidth="1"/>
    <x:col min="2" max="2" width="8.609999656677246" hidden="0" customWidth="1"/>
    <x:col min="3" max="3" width="9.149999618530273" hidden="0" customWidth="1"/>
    <x:col min="4" max="4" width="8.479999542236328" hidden="0" customWidth="1"/>
    <x:col min="5" max="5" width="9.420000076293945" hidden="0" customWidth="1"/>
    <x:col min="6" max="6" width="9.420000076293945" hidden="0" customWidth="1"/>
    <x:col min="7" max="7" width="13.1899995803833" hidden="0" customWidth="1"/>
    <x:col min="8" max="8" width="13.460000038146973" hidden="0" customWidth="1"/>
  </x:cols>
  <x:sheetData>
    <x:row r="1">
      <x:c r="A1" s="80" t="str">
        <x:v>product_category_name_english</x:v>
      </x:c>
      <x:c r="B1" s="80" t="str">
        <x:v>revenue</x:v>
      </x:c>
      <x:c r="C1" s="80" t="str">
        <x:v>total_orders</x:v>
      </x:c>
      <x:c r="D1" s="80" t="str">
        <x:v>total_items</x:v>
      </x:c>
      <x:c r="E1" s="80" t="str">
        <x:v>avg_price</x:v>
      </x:c>
      <x:c r="F1" s="80" t="str">
        <x:v>avg_freight</x:v>
      </x:c>
      <x:c r="G1" s="80" t="str">
        <x:v>avg_review_score</x:v>
      </x:c>
      <x:c r="H1" s="80" t="str">
        <x:v>late_delivery_rate</x:v>
      </x:c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2" t="str">
        <x:v>computers_accessories</x:v>
      </x:c>
      <x:c r="B2" s="82" t="n">
        <x:v>1685925.43</x:v>
      </x:c>
      <x:c r="C2" s="82" t="n">
        <x:v>7507</x:v>
      </x:c>
      <x:c r="D2" s="82" t="n">
        <x:v>7589</x:v>
      </x:c>
      <x:c r="E2" s="82" t="n">
        <x:v>200.76993938595336</x:v>
      </x:c>
      <x:c r="F2" s="82" t="n">
        <x:v>21.383892475952035</x:v>
      </x:c>
      <x:c r="G2" s="82" t="n">
        <x:v>3.8348926077217023</x:v>
      </x:c>
      <x:c r="H2" s="82" t="n">
        <x:v>0.24232441691922518</x:v>
      </x:c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2" t="str">
        <x:v>watches_gifts</x:v>
      </x:c>
      <x:c r="B3" s="82" t="n">
        <x:v>1508123.28</x:v>
      </x:c>
      <x:c r="C3" s="82" t="n">
        <x:v>5907</x:v>
      </x:c>
      <x:c r="D3" s="82" t="n">
        <x:v>5957</x:v>
      </x:c>
      <x:c r="E3" s="82" t="n">
        <x:v>230.4638240725197</x:v>
      </x:c>
      <x:c r="F3" s="82" t="n">
        <x:v>22.70442840355884</x:v>
      </x:c>
      <x:c r="G3" s="82" t="n">
        <x:v>3.834144703709921</x:v>
      </x:c>
      <x:c r="H3" s="82" t="n">
        <x:v>0.2422360248447205</x:v>
      </x:c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2" t="str">
        <x:v>health_beauty</x:v>
      </x:c>
      <x:c r="B4" s="82" t="n">
        <x:v>1432652.7</x:v>
      </x:c>
      <x:c r="C4" s="82" t="n">
        <x:v>9399</x:v>
      </x:c>
      <x:c r="D4" s="82" t="n">
        <x:v>9536</x:v>
      </x:c>
      <x:c r="E4" s="82" t="n">
        <x:v>131.97809878355704</x:v>
      </x:c>
      <x:c r="F4" s="82" t="n">
        <x:v>18.258132340604025</x:v>
      </x:c>
      <x:c r="G4" s="82" t="n">
        <x:v>3.846476510067114</x:v>
      </x:c>
      <x:c r="H4" s="82" t="n">
        <x:v>0.2457005033557047</x:v>
      </x:c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2" t="str">
        <x:v>furniture_decor</x:v>
      </x:c>
      <x:c r="B5" s="82" t="n">
        <x:v>1424562.88</x:v>
      </x:c>
      <x:c r="C5" s="82" t="n">
        <x:v>7570</x:v>
      </x:c>
      <x:c r="D5" s="82" t="n">
        <x:v>7672</x:v>
      </x:c>
      <x:c r="E5" s="82" t="n">
        <x:v>165.93068430656933</x:v>
      </x:c>
      <x:c r="F5" s="82" t="n">
        <x:v>19.752694212721586</x:v>
      </x:c>
      <x:c r="G5" s="82" t="n">
        <x:v>3.8306830031282586</x:v>
      </x:c>
      <x:c r="H5" s="82" t="n">
        <x:v>0.2497393117831074</x:v>
      </x:c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2" t="str">
        <x:v>sports_leisure</x:v>
      </x:c>
      <x:c r="B6" s="82" t="n">
        <x:v>1273178.44</x:v>
      </x:c>
      <x:c r="C6" s="82" t="n">
        <x:v>8590</x:v>
      </x:c>
      <x:c r="D6" s="82" t="n">
        <x:v>8710</x:v>
      </x:c>
      <x:c r="E6" s="82" t="n">
        <x:v>127.97638002296212</x:v>
      </x:c>
      <x:c r="F6" s="82" t="n">
        <x:v>18.19795292766935</x:v>
      </x:c>
      <x:c r="G6" s="82" t="n">
        <x:v>3.806199770378875</x:v>
      </x:c>
      <x:c r="H6" s="82" t="n">
        <x:v>0.2494833524684271</x:v>
      </x:c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2" t="str">
        <x:v>bed_bath_table</x:v>
      </x:c>
      <x:c r="B7" s="82" t="n">
        <x:v>1214319.13</x:v>
      </x:c>
      <x:c r="C7" s="82" t="n">
        <x:v>10297</x:v>
      </x:c>
      <x:c r="D7" s="82" t="n">
        <x:v>10440</x:v>
      </x:c>
      <x:c r="E7" s="82" t="n">
        <x:v>99.51213122605364</x:v>
      </x:c>
      <x:c r="F7" s="82" t="n">
        <x:v>16.801961685823755</x:v>
      </x:c>
      <x:c r="G7" s="82" t="n">
        <x:v>3.84272030651341</x:v>
      </x:c>
      <x:c r="H7" s="82" t="n">
        <x:v>0.24272030651340995</x:v>
      </x:c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2" t="str">
        <x:v>electronics</x:v>
      </x:c>
      <x:c r="B8" s="82" t="n">
        <x:v>928428.79</x:v>
      </x:c>
      <x:c r="C8" s="82" t="n">
        <x:v>3510</x:v>
      </x:c>
      <x:c r="D8" s="82" t="n">
        <x:v>3528</x:v>
      </x:c>
      <x:c r="E8" s="82" t="n">
        <x:v>240.02299036281178</x:v>
      </x:c>
      <x:c r="F8" s="82" t="n">
        <x:v>23.137097505668933</x:v>
      </x:c>
      <x:c r="G8" s="82" t="n">
        <x:v>3.866780045351474</x:v>
      </x:c>
      <x:c r="H8" s="82" t="n">
        <x:v>0.23922902494331066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2" t="str">
        <x:v>garden_tools</x:v>
      </x:c>
      <x:c r="B9" s="82" t="n">
        <x:v>865718.48</x:v>
      </x:c>
      <x:c r="C9" s="82" t="n">
        <x:v>5291</x:v>
      </x:c>
      <x:c r="D9" s="82" t="n">
        <x:v>5328</x:v>
      </x:c>
      <x:c r="E9" s="82" t="n">
        <x:v>143.78362237237238</x:v>
      </x:c>
      <x:c r="F9" s="82" t="n">
        <x:v>18.701077327327326</x:v>
      </x:c>
      <x:c r="G9" s="82" t="n">
        <x:v>3.820945945945946</x:v>
      </x:c>
      <x:c r="H9" s="82" t="n">
        <x:v>0.24549549549549549</x:v>
      </x:c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2" t="str">
        <x:v>auto</x:v>
      </x:c>
      <x:c r="B10" s="82" t="n">
        <x:v>858355.87</x:v>
      </x:c>
      <x:c r="C10" s="82" t="n">
        <x:v>4647</x:v>
      </x:c>
      <x:c r="D10" s="82" t="n">
        <x:v>4681</x:v>
      </x:c>
      <x:c r="E10" s="82" t="n">
        <x:v>163.61384105960266</x:v>
      </x:c>
      <x:c r="F10" s="82" t="n">
        <x:v>19.75635120700705</x:v>
      </x:c>
      <x:c r="G10" s="82" t="n">
        <x:v>3.839777825251015</x:v>
      </x:c>
      <x:c r="H10" s="82" t="n">
        <x:v>0.23435163426618244</x:v>
      </x:c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2" t="str">
        <x:v>cool_stuff</x:v>
      </x:c>
      <x:c r="B11" s="82" t="n">
        <x:v>810594.84</x:v>
      </x:c>
      <x:c r="C11" s="82" t="n">
        <x:v>4086</x:v>
      </x:c>
      <x:c r="D11" s="82" t="n">
        <x:v>4109</x:v>
      </x:c>
      <x:c r="E11" s="82" t="n">
        <x:v>177.0272986128012</x:v>
      </x:c>
      <x:c r="F11" s="82" t="n">
        <x:v>20.24572158676077</x:v>
      </x:c>
      <x:c r="G11" s="82" t="n">
        <x:v>3.835239717692869</x:v>
      </x:c>
      <x:c r="H11" s="82" t="n">
        <x:v>0.24117790216597712</x:v>
      </x:c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2" t="str">
        <x:v>housewares</x:v>
      </x:c>
      <x:c r="B12" s="82" t="n">
        <x:v>717020.21</x:v>
      </x:c>
      <x:c r="C12" s="82" t="n">
        <x:v>7160</x:v>
      </x:c>
      <x:c r="D12" s="82" t="n">
        <x:v>7230</x:v>
      </x:c>
      <x:c r="E12" s="82" t="n">
        <x:v>83.11482295988935</x:v>
      </x:c>
      <x:c r="F12" s="82" t="n">
        <x:v>16.05809681881051</x:v>
      </x:c>
      <x:c r="G12" s="82" t="n">
        <x:v>3.812724757952974</x:v>
      </x:c>
      <x:c r="H12" s="82" t="n">
        <x:v>0.23941908713692947</x:v>
      </x:c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2" t="str">
        <x:v>office_furniture</x:v>
      </x:c>
      <x:c r="B13" s="82" t="n">
        <x:v>707103.23</x:v>
      </x:c>
      <x:c r="C13" s="82" t="n">
        <x:v>2311</x:v>
      </x:c>
      <x:c r="D13" s="82" t="n">
        <x:v>2323</x:v>
      </x:c>
      <x:c r="E13" s="82" t="n">
        <x:v>279.42671545415413</x:v>
      </x:c>
      <x:c r="F13" s="82" t="n">
        <x:v>24.96554885923375</x:v>
      </x:c>
      <x:c r="G13" s="82" t="n">
        <x:v>3.8286698235040895</x:v>
      </x:c>
      <x:c r="H13" s="82" t="n">
        <x:v>0.23590185105467068</x:v>
      </x:c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2" t="str">
        <x:v>telephony</x:v>
      </x:c>
      <x:c r="B14" s="82" t="n">
        <x:v>673721.88</x:v>
      </x:c>
      <x:c r="C14" s="82" t="n">
        <x:v>5734</x:v>
      </x:c>
      <x:c r="D14" s="82" t="n">
        <x:v>5789</x:v>
      </x:c>
      <x:c r="E14" s="82" t="n">
        <x:v>99.57589393677664</x:v>
      </x:c>
      <x:c r="F14" s="82" t="n">
        <x:v>16.80377094489549</x:v>
      </x:c>
      <x:c r="G14" s="82" t="n">
        <x:v>3.8695802383831404</x:v>
      </x:c>
      <x:c r="H14" s="82" t="n">
        <x:v>0.23613750215926757</x:v>
      </x:c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2" t="str">
        <x:v>toys</x:v>
      </x:c>
      <x:c r="B15" s="82" t="n">
        <x:v>516803.33</x:v>
      </x:c>
      <x:c r="C15" s="82" t="n">
        <x:v>4666</x:v>
      </x:c>
      <x:c r="D15" s="82" t="n">
        <x:v>4690</x:v>
      </x:c>
      <x:c r="E15" s="82" t="n">
        <x:v>93.69083368869936</x:v>
      </x:c>
      <x:c r="F15" s="82" t="n">
        <x:v>16.501773987206825</x:v>
      </x:c>
      <x:c r="G15" s="82" t="n">
        <x:v>3.849466950959488</x:v>
      </x:c>
      <x:c r="H15" s="82" t="n">
        <x:v>0.23880597014925373</x:v>
      </x:c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2" t="str">
        <x:v>home_appliances</x:v>
      </x:c>
      <x:c r="B16" s="82" t="n">
        <x:v>510853.57</x:v>
      </x:c>
      <x:c r="C16" s="82" t="n">
        <x:v>1617</x:v>
      </x:c>
      <x:c r="D16" s="82" t="n">
        <x:v>1622</x:v>
      </x:c>
      <x:c r="E16" s="82" t="n">
        <x:v>289.46668927250306</x:v>
      </x:c>
      <x:c r="F16" s="82" t="n">
        <x:v>25.486189889025894</x:v>
      </x:c>
      <x:c r="G16" s="82" t="n">
        <x:v>3.840320591861899</x:v>
      </x:c>
      <x:c r="H16" s="82" t="n">
        <x:v>0.2342786683107275</x:v>
      </x:c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2" t="str">
        <x:v>baby</x:v>
      </x:c>
      <x:c r="B17" s="82" t="n">
        <x:v>477829.58</x:v>
      </x:c>
      <x:c r="C17" s="82" t="n">
        <x:v>3381</x:v>
      </x:c>
      <x:c r="D17" s="82" t="n">
        <x:v>3399</x:v>
      </x:c>
      <x:c r="E17" s="82" t="n">
        <x:v>122.66582230067667</x:v>
      </x:c>
      <x:c r="F17" s="82" t="n">
        <x:v>17.913636363636364</x:v>
      </x:c>
      <x:c r="G17" s="82" t="n">
        <x:v>3.8284789644012944</x:v>
      </x:c>
      <x:c r="H17" s="82" t="n">
        <x:v>0.23918799646954986</x:v>
      </x:c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2" t="str">
        <x:v>perfumery</x:v>
      </x:c>
      <x:c r="B18" s="82" t="n">
        <x:v>462015.16</x:v>
      </x:c>
      <x:c r="C18" s="82" t="n">
        <x:v>3768</x:v>
      </x:c>
      <x:c r="D18" s="82" t="n">
        <x:v>3794</x:v>
      </x:c>
      <x:c r="E18" s="82" t="n">
        <x:v>104.6823958882446</x:v>
      </x:c>
      <x:c r="F18" s="82" t="n">
        <x:v>17.092817606747495</x:v>
      </x:c>
      <x:c r="G18" s="82" t="n">
        <x:v>3.8328940432261467</x:v>
      </x:c>
      <x:c r="H18" s="82" t="n">
        <x:v>0.24064312071692145</x:v>
      </x:c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2" t="str">
        <x:v>pet_shop</x:v>
      </x:c>
      <x:c r="B19" s="82" t="n">
        <x:v>304219.86</x:v>
      </x:c>
      <x:c r="C19" s="82" t="n">
        <x:v>2356</x:v>
      </x:c>
      <x:c r="D19" s="82" t="n">
        <x:v>2363</x:v>
      </x:c>
      <x:c r="E19" s="82" t="n">
        <x:v>111.34229792636478</x:v>
      </x:c>
      <x:c r="F19" s="82" t="n">
        <x:v>17.40076597545493</x:v>
      </x:c>
      <x:c r="G19" s="82" t="n">
        <x:v>3.819720694033009</x:v>
      </x:c>
      <x:c r="H19" s="82" t="n">
        <x:v>0.2458738891239949</x:v>
      </x:c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2" t="str">
        <x:v>fashion_bags_accessories</x:v>
      </x:c>
      <x:c r="B20" s="82" t="n">
        <x:v>300384.06</x:v>
      </x:c>
      <x:c r="C20" s="82" t="n">
        <x:v>2861</x:v>
      </x:c>
      <x:c r="D20" s="82" t="n">
        <x:v>2874</x:v>
      </x:c>
      <x:c r="E20" s="82" t="n">
        <x:v>88.27840292275575</x:v>
      </x:c>
      <x:c r="F20" s="82" t="n">
        <x:v>16.23936325678497</x:v>
      </x:c>
      <x:c r="G20" s="82" t="n">
        <x:v>3.835073068893528</x:v>
      </x:c>
      <x:c r="H20" s="82" t="n">
        <x:v>0.23869171885873347</x:v>
      </x:c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2" t="str">
        <x:v>luggage_accessories</x:v>
      </x:c>
      <x:c r="B21" s="82" t="n">
        <x:v>287343.68</x:v>
      </x:c>
      <x:c r="C21" s="82" t="n">
        <x:v>1657</x:v>
      </x:c>
      <x:c r="D21" s="82" t="n">
        <x:v>1662</x:v>
      </x:c>
      <x:c r="E21" s="82" t="n">
        <x:v>153.63641997593263</x:v>
      </x:c>
      <x:c r="F21" s="82" t="n">
        <x:v>19.253880866425995</x:v>
      </x:c>
      <x:c r="G21" s="82" t="n">
        <x:v>3.826113116726835</x:v>
      </x:c>
      <x:c r="H21" s="82" t="n">
        <x:v>0.24247894103489773</x:v>
      </x:c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2" t="str">
        <x:v>audio</x:v>
      </x:c>
      <x:c r="B22" s="82" t="n">
        <x:v>260449.72</x:v>
      </x:c>
      <x:c r="C22" s="82" t="n">
        <x:v>1255</x:v>
      </x:c>
      <x:c r="D22" s="82" t="n">
        <x:v>1256</x:v>
      </x:c>
      <x:c r="E22" s="82" t="n">
        <x:v>186.62442675159235</x:v>
      </x:c>
      <x:c r="F22" s="82" t="n">
        <x:v>20.74</x:v>
      </x:c>
      <x:c r="G22" s="82" t="n">
        <x:v>3.8073248407643314</x:v>
      </x:c>
      <x:c r="H22" s="82" t="n">
        <x:v>0.2531847133757962</x:v>
      </x:c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2" t="str">
        <x:v>stationery</x:v>
      </x:c>
      <x:c r="B23" s="82" t="n">
        <x:v>246361.02</x:v>
      </x:c>
      <x:c r="C23" s="82" t="n">
        <x:v>2991</x:v>
      </x:c>
      <x:c r="D23" s="82" t="n">
        <x:v>3000</x:v>
      </x:c>
      <x:c r="E23" s="82" t="n">
        <x:v>66.76855</x:v>
      </x:c>
      <x:c r="F23" s="82" t="n">
        <x:v>15.351790000000001</x:v>
      </x:c>
      <x:c r="G23" s="82" t="n">
        <x:v>3.823</x:v>
      </x:c>
      <x:c r="H23" s="82" t="n">
        <x:v>0.23933333333333334</x:v>
      </x:c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2" t="str">
        <x:v>musical_instruments</x:v>
      </x:c>
      <x:c r="B24" s="82" t="n">
        <x:v>234496.85</x:v>
      </x:c>
      <x:c r="C24" s="82" t="n">
        <x:v>1003</x:v>
      </x:c>
      <x:c r="D24" s="82" t="n">
        <x:v>1004</x:v>
      </x:c>
      <x:c r="E24" s="82" t="n">
        <x:v>211.67330677290838</x:v>
      </x:c>
      <x:c r="F24" s="82" t="n">
        <x:v>21.889292828685257</x:v>
      </x:c>
      <x:c r="G24" s="82" t="n">
        <x:v>3.818725099601594</x:v>
      </x:c>
      <x:c r="H24" s="82" t="n">
        <x:v>0.24203187250996017</x:v>
      </x:c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2" t="str">
        <x:v>books_general_interest</x:v>
      </x:c>
      <x:c r="B25" s="82" t="n">
        <x:v>150438.55</x:v>
      </x:c>
      <x:c r="C25" s="82" t="n">
        <x:v>1978</x:v>
      </x:c>
      <x:c r="D25" s="82" t="n">
        <x:v>1985</x:v>
      </x:c>
      <x:c r="E25" s="82" t="n">
        <x:v>60.76106801007557</x:v>
      </x:c>
      <x:c r="F25" s="82" t="n">
        <x:v>15.026614609571789</x:v>
      </x:c>
      <x:c r="G25" s="82" t="n">
        <x:v>3.78639798488665</x:v>
      </x:c>
      <x:c r="H25" s="82" t="n">
        <x:v>0.23526448362720404</x:v>
      </x:c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2" t="str">
        <x:v>food</x:v>
      </x:c>
      <x:c r="B26" s="82" t="n">
        <x:v>49625.13</x:v>
      </x:c>
      <x:c r="C26" s="82" t="n">
        <x:v>782</x:v>
      </x:c>
      <x:c r="D26" s="82" t="n">
        <x:v>783</x:v>
      </x:c>
      <x:c r="E26" s="82" t="n">
        <x:v>48.932681992337166</x:v>
      </x:c>
      <x:c r="F26" s="82" t="n">
        <x:v>14.44551724137931</x:v>
      </x:c>
      <x:c r="G26" s="82" t="n">
        <x:v>3.7790549169859515</x:v>
      </x:c>
      <x:c r="H26" s="82" t="n">
        <x:v>0.23116219667943805</x:v>
      </x:c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8.609999656677246" hidden="0" customWidth="1"/>
    <x:col min="3" max="3" width="9.149999618530273" hidden="0" customWidth="1"/>
    <x:col min="4" max="4" width="11.979999542236328" hidden="0" customWidth="1"/>
    <x:col min="5" max="5" width="13.59000015258789" hidden="0" customWidth="1"/>
    <x:col min="6" max="6" width="13.460000038146973" hidden="0" customWidth="1"/>
    <x:col min="7" max="7" width="13.1899995803833" hidden="0" customWidth="1"/>
    <x:col min="8" max="8" width="9.420000076293945" hidden="0" customWidth="1"/>
  </x:cols>
  <x:sheetData>
    <x:row r="1">
      <x:c r="A1" s="80" t="str">
        <x:v>customer_state</x:v>
      </x:c>
      <x:c r="B1" s="80" t="str">
        <x:v>revenue</x:v>
      </x:c>
      <x:c r="C1" s="80" t="str">
        <x:v>total_orders</x:v>
      </x:c>
      <x:c r="D1" s="80" t="str">
        <x:v>total_customers</x:v>
      </x:c>
      <x:c r="E1" s="80" t="str">
        <x:v>avg_delivery_days</x:v>
      </x:c>
      <x:c r="F1" s="80" t="str">
        <x:v>late_delivery_rate</x:v>
      </x:c>
      <x:c r="G1" s="80" t="str">
        <x:v>avg_review_score</x:v>
      </x:c>
      <x:c r="H1" s="80" t="str">
        <x:v>aov</x:v>
      </x:c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2" t="str">
        <x:v>SP</x:v>
      </x:c>
      <x:c r="B2" s="82" t="n">
        <x:v>7350781.42</x:v>
      </x:c>
      <x:c r="C2" s="82" t="n">
        <x:v>39925</x:v>
      </x:c>
      <x:c r="D2" s="82" t="n">
        <x:v>39925</x:v>
      </x:c>
      <x:c r="E2" s="82" t="n">
        <x:v>8.567237216990366</x:v>
      </x:c>
      <x:c r="F2" s="82" t="n">
        <x:v>0.23432436547119337</x:v>
      </x:c>
      <x:c r="G2" s="82" t="n">
        <x:v>3.8441897387937973</x:v>
      </x:c>
      <x:c r="H2" s="82" t="n">
        <x:v>184.11475065748277</x:v>
      </x:c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2" t="str">
        <x:v>RJ</x:v>
      </x:c>
      <x:c r="B3" s="82" t="n">
        <x:v>2301497.47</x:v>
      </x:c>
      <x:c r="C3" s="82" t="n">
        <x:v>12360</x:v>
      </x:c>
      <x:c r="D3" s="82" t="n">
        <x:v>12360</x:v>
      </x:c>
      <x:c r="E3" s="82" t="n">
        <x:v>8.517513808291966</x:v>
      </x:c>
      <x:c r="F3" s="82" t="n">
        <x:v>0.23771236803467805</x:v>
      </x:c>
      <x:c r="G3" s="82" t="n">
        <x:v>3.845766622386912</x:v>
      </x:c>
      <x:c r="H3" s="82" t="n">
        <x:v>186.20529692556636</x:v>
      </x:c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2" t="str">
        <x:v>MG</x:v>
      </x:c>
      <x:c r="B4" s="82" t="n">
        <x:v>1931898.96</x:v>
      </x:c>
      <x:c r="C4" s="82" t="n">
        <x:v>10464</x:v>
      </x:c>
      <x:c r="D4" s="82" t="n">
        <x:v>10464</x:v>
      </x:c>
      <x:c r="E4" s="82" t="n">
        <x:v>8.552317444636536</x:v>
      </x:c>
      <x:c r="F4" s="82" t="n">
        <x:v>0.23314398616942456</x:v>
      </x:c>
      <x:c r="G4" s="82" t="n">
        <x:v>3.8508273647814275</x:v>
      </x:c>
      <x:c r="H4" s="82" t="n">
        <x:v>184.62337155963303</x:v>
      </x:c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2" t="str">
        <x:v>PR</x:v>
      </x:c>
      <x:c r="B5" s="82" t="n">
        <x:v>1040173.89</x:v>
      </x:c>
      <x:c r="C5" s="82" t="n">
        <x:v>5717</x:v>
      </x:c>
      <x:c r="D5" s="82" t="n">
        <x:v>5717</x:v>
      </x:c>
      <x:c r="E5" s="82" t="n">
        <x:v>8.565361946501437</x:v>
      </x:c>
      <x:c r="F5" s="82" t="n">
        <x:v>0.22744446123620976</x:v>
      </x:c>
      <x:c r="G5" s="82" t="n">
        <x:v>3.845549342602388</x:v>
      </x:c>
      <x:c r="H5" s="82" t="n">
        <x:v>181.9440073465104</x:v>
      </x:c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2" t="str">
        <x:v>RS</x:v>
      </x:c>
      <x:c r="B6" s="82" t="n">
        <x:v>1032167.07</x:v>
      </x:c>
      <x:c r="C6" s="82" t="n">
        <x:v>5647</x:v>
      </x:c>
      <x:c r="D6" s="82" t="n">
        <x:v>5647</x:v>
      </x:c>
      <x:c r="E6" s="82" t="n">
        <x:v>8.605421222855382</x:v>
      </x:c>
      <x:c r="F6" s="82" t="n">
        <x:v>0.2285538271985215</x:v>
      </x:c>
      <x:c r="G6" s="82" t="n">
        <x:v>3.828584629601109</x:v>
      </x:c>
      <x:c r="H6" s="82" t="n">
        <x:v>182.78148928634673</x:v>
      </x:c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2" t="str">
        <x:v>SC</x:v>
      </x:c>
      <x:c r="B7" s="82" t="n">
        <x:v>675687.66</x:v>
      </x:c>
      <x:c r="C7" s="82" t="n">
        <x:v>3773</x:v>
      </x:c>
      <x:c r="D7" s="82" t="n">
        <x:v>3773</x:v>
      </x:c>
      <x:c r="E7" s="82" t="n">
        <x:v>8.699326677501741</x:v>
      </x:c>
      <x:c r="F7" s="82" t="n">
        <x:v>0.23380543301602044</x:v>
      </x:c>
      <x:c r="G7" s="82" t="n">
        <x:v>3.8260970513118178</x:v>
      </x:c>
      <x:c r="H7" s="82" t="n">
        <x:v>179.08498807315135</x:v>
      </x:c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2" t="str">
        <x:v>BA</x:v>
      </x:c>
      <x:c r="B8" s="82" t="n">
        <x:v>637932.59</x:v>
      </x:c>
      <x:c r="C8" s="82" t="n">
        <x:v>3291</x:v>
      </x:c>
      <x:c r="D8" s="82" t="n">
        <x:v>3291</x:v>
      </x:c>
      <x:c r="E8" s="82" t="n">
        <x:v>11.675867507886435</x:v>
      </x:c>
      <x:c r="F8" s="82" t="n">
        <x:v>0.27392218717139855</x:v>
      </x:c>
      <x:c r="G8" s="82" t="n">
        <x:v>3.8041535226077814</x:v>
      </x:c>
      <x:c r="H8" s="82" t="n">
        <x:v>193.8415648738985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2" t="str">
        <x:v>DF</x:v>
      </x:c>
      <x:c r="B9" s="82" t="n">
        <x:v>442969.55</x:v>
      </x:c>
      <x:c r="C9" s="82" t="n">
        <x:v>2354</x:v>
      </x:c>
      <x:c r="D9" s="82" t="n">
        <x:v>2354</x:v>
      </x:c>
      <x:c r="E9" s="82" t="n">
        <x:v>11.600818452380953</x:v>
      </x:c>
      <x:c r="F9" s="82" t="n">
        <x:v>0.2864583333333333</x:v>
      </x:c>
      <x:c r="G9" s="82" t="n">
        <x:v>3.777529761904762</x:v>
      </x:c>
      <x:c r="H9" s="82" t="n">
        <x:v>188.17737892948173</x:v>
      </x:c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2" t="str">
        <x:v>GO</x:v>
      </x:c>
      <x:c r="B10" s="82" t="n">
        <x:v>367749.68</x:v>
      </x:c>
      <x:c r="C10" s="82" t="n">
        <x:v>1908</x:v>
      </x:c>
      <x:c r="D10" s="82" t="n">
        <x:v>1908</x:v>
      </x:c>
      <x:c r="E10" s="82" t="n">
        <x:v>11.438858695652174</x:v>
      </x:c>
      <x:c r="F10" s="82" t="n">
        <x:v>0.26811594202898553</x:v>
      </x:c>
      <x:c r="G10" s="82" t="n">
        <x:v>3.7971014492753623</x:v>
      </x:c>
      <x:c r="H10" s="82" t="n">
        <x:v>192.7409224318658</x:v>
      </x:c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2" t="str">
        <x:v>PE</x:v>
      </x:c>
      <x:c r="B11" s="82" t="n">
        <x:v>329110.58</x:v>
      </x:c>
      <x:c r="C11" s="82" t="n">
        <x:v>1713</x:v>
      </x:c>
      <x:c r="D11" s="82" t="n">
        <x:v>1713</x:v>
      </x:c>
      <x:c r="E11" s="82" t="n">
        <x:v>11.542493638676845</x:v>
      </x:c>
      <x:c r="F11" s="82" t="n">
        <x:v>0.2564885496183206</x:v>
      </x:c>
      <x:c r="G11" s="82" t="n">
        <x:v>3.8030534351145038</x:v>
      </x:c>
      <x:c r="H11" s="82" t="n">
        <x:v>192.1252656158786</x:v>
      </x:c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2" t="str">
        <x:v>CE</x:v>
      </x:c>
      <x:c r="B12" s="82" t="n">
        <x:v>269511.08</x:v>
      </x:c>
      <x:c r="C12" s="82" t="n">
        <x:v>1425</x:v>
      </x:c>
      <x:c r="D12" s="82" t="n">
        <x:v>1425</x:v>
      </x:c>
      <x:c r="E12" s="82" t="n">
        <x:v>11.47799511002445</x:v>
      </x:c>
      <x:c r="F12" s="82" t="n">
        <x:v>0.26772616136919314</x:v>
      </x:c>
      <x:c r="G12" s="82" t="n">
        <x:v>3.8215158924205377</x:v>
      </x:c>
      <x:c r="H12" s="82" t="n">
        <x:v>189.13058245614036</x:v>
      </x:c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2" t="str">
        <x:v>ES</x:v>
      </x:c>
      <x:c r="B13" s="82" t="n">
        <x:v>216827.84</x:v>
      </x:c>
      <x:c r="C13" s="82" t="n">
        <x:v>1159</x:v>
      </x:c>
      <x:c r="D13" s="82" t="n">
        <x:v>1159</x:v>
      </x:c>
      <x:c r="E13" s="82" t="n">
        <x:v>11.617053103964098</x:v>
      </x:c>
      <x:c r="F13" s="82" t="n">
        <x:v>0.29020194465220644</x:v>
      </x:c>
      <x:c r="G13" s="82" t="n">
        <x:v>3.741211667913239</x:v>
      </x:c>
      <x:c r="H13" s="82" t="n">
        <x:v>187.0818291630716</x:v>
      </x:c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2" t="str">
        <x:v>PA</x:v>
      </x:c>
      <x:c r="B14" s="82" t="n">
        <x:v>215025.41</x:v>
      </x:c>
      <x:c r="C14" s="82" t="n">
        <x:v>1134</x:v>
      </x:c>
      <x:c r="D14" s="82" t="n">
        <x:v>1134</x:v>
      </x:c>
      <x:c r="E14" s="82" t="n">
        <x:v>11.647692307692308</x:v>
      </x:c>
      <x:c r="F14" s="82" t="n">
        <x:v>0.2753846153846154</x:v>
      </x:c>
      <x:c r="G14" s="82" t="n">
        <x:v>3.7515384615384617</x:v>
      </x:c>
      <x:c r="H14" s="82" t="n">
        <x:v>189.61676366843034</x:v>
      </x:c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2" t="str">
        <x:v>MT</x:v>
      </x:c>
      <x:c r="B15" s="82" t="n">
        <x:v>162995.59</x:v>
      </x:c>
      <x:c r="C15" s="82" t="n">
        <x:v>852</x:v>
      </x:c>
      <x:c r="D15" s="82" t="n">
        <x:v>852</x:v>
      </x:c>
      <x:c r="E15" s="82" t="n">
        <x:v>11.524439918533606</x:v>
      </x:c>
      <x:c r="F15" s="82" t="n">
        <x:v>0.2515274949083503</x:v>
      </x:c>
      <x:c r="G15" s="82" t="n">
        <x:v>3.865580448065173</x:v>
      </x:c>
      <x:c r="H15" s="82" t="n">
        <x:v>191.3093779342723</x:v>
      </x:c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2" t="str">
        <x:v>MA</x:v>
      </x:c>
      <x:c r="B16" s="82" t="n">
        <x:v>140136.83</x:v>
      </x:c>
      <x:c r="C16" s="82" t="n">
        <x:v>740</x:v>
      </x:c>
      <x:c r="D16" s="82" t="n">
        <x:v>740</x:v>
      </x:c>
      <x:c r="E16" s="82" t="n">
        <x:v>11.270783847980997</x:v>
      </x:c>
      <x:c r="F16" s="82" t="n">
        <x:v>0.3182897862232779</x:v>
      </x:c>
      <x:c r="G16" s="82" t="n">
        <x:v>3.668646080760095</x:v>
      </x:c>
      <x:c r="H16" s="82" t="n">
        <x:v>189.37409459459457</x:v>
      </x:c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2" t="str">
        <x:v>MS</x:v>
      </x:c>
      <x:c r="B17" s="82" t="n">
        <x:v>128830.95999999999</x:v>
      </x:c>
      <x:c r="C17" s="82" t="n">
        <x:v>666</x:v>
      </x:c>
      <x:c r="D17" s="82" t="n">
        <x:v>666</x:v>
      </x:c>
      <x:c r="E17" s="82" t="n">
        <x:v>11.387305699481866</x:v>
      </x:c>
      <x:c r="F17" s="82" t="n">
        <x:v>0.3018134715025907</x:v>
      </x:c>
      <x:c r="G17" s="82" t="n">
        <x:v>3.7642487046632125</x:v>
      </x:c>
      <x:c r="H17" s="82" t="n">
        <x:v>193.43987987987987</x:v>
      </x:c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2" t="str">
        <x:v>RN</x:v>
      </x:c>
      <x:c r="B18" s="82" t="n">
        <x:v>113124.3</x:v>
      </x:c>
      <x:c r="C18" s="82" t="n">
        <x:v>594</x:v>
      </x:c>
      <x:c r="D18" s="82" t="n">
        <x:v>594</x:v>
      </x:c>
      <x:c r="E18" s="82" t="n">
        <x:v>11.645441389290882</x:v>
      </x:c>
      <x:c r="F18" s="82" t="n">
        <x:v>0.3154848046309696</x:v>
      </x:c>
      <x:c r="G18" s="82" t="n">
        <x:v>3.7756874095513746</x:v>
      </x:c>
      <x:c r="H18" s="82" t="n">
        <x:v>190.4449494949495</x:v>
      </x:c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2" t="str">
        <x:v>PB</x:v>
      </x:c>
      <x:c r="B19" s="82" t="n">
        <x:v>100852.32</x:v>
      </x:c>
      <x:c r="C19" s="82" t="n">
        <x:v>529</x:v>
      </x:c>
      <x:c r="D19" s="82" t="n">
        <x:v>529</x:v>
      </x:c>
      <x:c r="E19" s="82" t="n">
        <x:v>11.54391891891892</x:v>
      </x:c>
      <x:c r="F19" s="82" t="n">
        <x:v>0.28885135135135137</x:v>
      </x:c>
      <x:c r="G19" s="82" t="n">
        <x:v>3.8175675675675675</x:v>
      </x:c>
      <x:c r="H19" s="82" t="n">
        <x:v>190.6471077504726</x:v>
      </x:c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2" t="str">
        <x:v>PI</x:v>
      </x:c>
      <x:c r="B20" s="82" t="n">
        <x:v>95364.47</x:v>
      </x:c>
      <x:c r="C20" s="82" t="n">
        <x:v>496</x:v>
      </x:c>
      <x:c r="D20" s="82" t="n">
        <x:v>496</x:v>
      </x:c>
      <x:c r="E20" s="82" t="n">
        <x:v>11.54320987654321</x:v>
      </x:c>
      <x:c r="F20" s="82" t="n">
        <x:v>0.2804232804232804</x:v>
      </x:c>
      <x:c r="G20" s="82" t="n">
        <x:v>3.8818342151675487</x:v>
      </x:c>
      <x:c r="H20" s="82" t="n">
        <x:v>192.26707661290322</x:v>
      </x:c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2" t="str">
        <x:v>AL</x:v>
      </x:c>
      <x:c r="B21" s="82" t="n">
        <x:v>85414.21</x:v>
      </x:c>
      <x:c r="C21" s="82" t="n">
        <x:v>445</x:v>
      </x:c>
      <x:c r="D21" s="82" t="n">
        <x:v>445</x:v>
      </x:c>
      <x:c r="E21" s="82" t="n">
        <x:v>12.153992395437262</x:v>
      </x:c>
      <x:c r="F21" s="82" t="n">
        <x:v>0.24904942965779467</x:v>
      </x:c>
      <x:c r="G21" s="82" t="n">
        <x:v>3.741444866920152</x:v>
      </x:c>
      <x:c r="H21" s="82" t="n">
        <x:v>191.94204494382024</x:v>
      </x:c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2" t="str">
        <x:v>SE</x:v>
      </x:c>
      <x:c r="B22" s="82" t="n">
        <x:v>79841.85</x:v>
      </x:c>
      <x:c r="C22" s="82" t="n">
        <x:v>414</x:v>
      </x:c>
      <x:c r="D22" s="82" t="n">
        <x:v>414</x:v>
      </x:c>
      <x:c r="E22" s="82" t="n">
        <x:v>12.2119341563786</x:v>
      </x:c>
      <x:c r="F22" s="82" t="n">
        <x:v>0.30864197530864196</x:v>
      </x:c>
      <x:c r="G22" s="82" t="n">
        <x:v>3.7263374485596708</x:v>
      </x:c>
      <x:c r="H22" s="82" t="n">
        <x:v>192.85471014492754</x:v>
      </x:c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2" t="str">
        <x:v>RO</x:v>
      </x:c>
      <x:c r="B23" s="82" t="n">
        <x:v>51963.2</x:v>
      </x:c>
      <x:c r="C23" s="82" t="n">
        <x:v>275</x:v>
      </x:c>
      <x:c r="D23" s="82" t="n">
        <x:v>275</x:v>
      </x:c>
      <x:c r="E23" s="82" t="n">
        <x:v>11.286163522012579</x:v>
      </x:c>
      <x:c r="F23" s="82" t="n">
        <x:v>0.29559748427672955</x:v>
      </x:c>
      <x:c r="G23" s="82" t="n">
        <x:v>3.842767295597484</x:v>
      </x:c>
      <x:c r="H23" s="82" t="n">
        <x:v>188.9570909090909</x:v>
      </x:c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2" t="str">
        <x:v>TO</x:v>
      </x:c>
      <x:c r="B24" s="82" t="n">
        <x:v>51378.340000000004</x:v>
      </x:c>
      <x:c r="C24" s="82" t="n">
        <x:v>267</x:v>
      </x:c>
      <x:c r="D24" s="82" t="n">
        <x:v>267</x:v>
      </x:c>
      <x:c r="E24" s="82" t="n">
        <x:v>11.425324675324676</x:v>
      </x:c>
      <x:c r="F24" s="82" t="n">
        <x:v>0.24675324675324675</x:v>
      </x:c>
      <x:c r="G24" s="82" t="n">
        <x:v>3.925324675324675</x:v>
      </x:c>
      <x:c r="H24" s="82" t="n">
        <x:v>192.42823970037455</x:v>
      </x:c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2" t="str">
        <x:v>AM</x:v>
      </x:c>
      <x:c r="B25" s="82" t="n">
        <x:v>32900.88</x:v>
      </x:c>
      <x:c r="C25" s="82" t="n">
        <x:v>169</x:v>
      </x:c>
      <x:c r="D25" s="82" t="n">
        <x:v>169</x:v>
      </x:c>
      <x:c r="E25" s="82" t="n">
        <x:v>11.735751295336788</x:v>
      </x:c>
      <x:c r="F25" s="82" t="n">
        <x:v>0.2694300518134715</x:v>
      </x:c>
      <x:c r="G25" s="82" t="n">
        <x:v>3.8082901554404147</x:v>
      </x:c>
      <x:c r="H25" s="82" t="n">
        <x:v>194.67976331360944</x:v>
      </x:c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2" t="str">
        <x:v>AC</x:v>
      </x:c>
      <x:c r="B26" s="82" t="n">
        <x:v>18923.76</x:v>
      </x:c>
      <x:c r="C26" s="82" t="n">
        <x:v>92</x:v>
      </x:c>
      <x:c r="D26" s="82" t="n">
        <x:v>92</x:v>
      </x:c>
      <x:c r="E26" s="82" t="n">
        <x:v>12.25242718446602</x:v>
      </x:c>
      <x:c r="F26" s="82" t="n">
        <x:v>0.23300970873786409</x:v>
      </x:c>
      <x:c r="G26" s="82" t="n">
        <x:v>3.5825242718446604</x:v>
      </x:c>
      <x:c r="H26" s="82" t="n">
        <x:v>205.69304347826085</x:v>
      </x:c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2" t="str">
        <x:v>AP</x:v>
      </x:c>
      <x:c r="B27" s="82" t="n">
        <x:v>16449.27</x:v>
      </x:c>
      <x:c r="C27" s="82" t="n">
        <x:v>90</x:v>
      </x:c>
      <x:c r="D27" s="82" t="n">
        <x:v>90</x:v>
      </x:c>
      <x:c r="E27" s="82" t="n">
        <x:v>11.717171717171718</x:v>
      </x:c>
      <x:c r="F27" s="82" t="n">
        <x:v>0.26262626262626265</x:v>
      </x:c>
      <x:c r="G27" s="82" t="n">
        <x:v>3.4646464646464645</x:v>
      </x:c>
      <x:c r="H27" s="82" t="n">
        <x:v>182.76966666666667</x:v>
      </x:c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2" t="str">
        <x:v>RR</x:v>
      </x:c>
      <x:c r="B28" s="82" t="n">
        <x:v>11016.49</x:v>
      </x:c>
      <x:c r="C28" s="82" t="n">
        <x:v>52</x:v>
      </x:c>
      <x:c r="D28" s="82" t="n">
        <x:v>52</x:v>
      </x:c>
      <x:c r="E28" s="82" t="n">
        <x:v>11.278688524590164</x:v>
      </x:c>
      <x:c r="F28" s="82" t="n">
        <x:v>0.22950819672131148</x:v>
      </x:c>
      <x:c r="G28" s="82" t="n">
        <x:v>3.80327868852459</x:v>
      </x:c>
      <x:c r="H28" s="82" t="n">
        <x:v>211.8555769230769</x:v>
      </x:c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9.149999618530273" hidden="0" customWidth="1"/>
    <x:col min="3" max="3" width="13.59000015258789" hidden="0" customWidth="1"/>
    <x:col min="4" max="4" width="11.569999694824219" hidden="0" customWidth="1"/>
    <x:col min="5" max="5" width="13.460000038146973" hidden="0" customWidth="1"/>
  </x:cols>
  <x:sheetData>
    <x:row r="1">
      <x:c r="A1" s="80" t="str">
        <x:v>review_score</x:v>
      </x:c>
      <x:c r="B1" s="80" t="str">
        <x:v>total_orders</x:v>
      </x:c>
      <x:c r="C1" s="80" t="str">
        <x:v>avg_delivery_days</x:v>
      </x:c>
      <x:c r="D1" s="80" t="str">
        <x:v>avg_delay_days</x:v>
      </x:c>
      <x:c r="E1" s="80" t="str">
        <x:v>late_delivery_rate</x:v>
      </x:c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2" t="n">
        <x:v>1</x:v>
      </x:c>
      <x:c r="B2" s="82" t="n">
        <x:v>8589</x:v>
      </x:c>
      <x:c r="C2" s="82" t="n">
        <x:v>9.524275235766678</x:v>
      </x:c>
      <x:c r="D2" s="82" t="n">
        <x:v>-1.2200488997555012</x:v>
      </x:c>
      <x:c r="E2" s="82" t="n">
        <x:v>0.4778204680405169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2" t="n">
        <x:v>2</x:v>
      </x:c>
      <x:c r="B3" s="82" t="n">
        <x:v>7962</x:v>
      </x:c>
      <x:c r="C3" s="82" t="n">
        <x:v>9.741019844260236</x:v>
      </x:c>
      <x:c r="D3" s="82" t="n">
        <x:v>-0.7793268023109772</x:v>
      </x:c>
      <x:c r="E3" s="82" t="n">
        <x:v>0.5422004521477016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2" t="n">
        <x:v>3</x:v>
      </x:c>
      <x:c r="B4" s="82" t="n">
        <x:v>15686</x:v>
      </x:c>
      <x:c r="C4" s="82" t="n">
        <x:v>9.54143822516894</x:v>
      </x:c>
      <x:c r="D4" s="82" t="n">
        <x:v>-0.835075863827617</x:v>
      </x:c>
      <x:c r="E4" s="82" t="n">
        <x:v>0.5332780823664414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2" t="n">
        <x:v>4</x:v>
      </x:c>
      <x:c r="B5" s="82" t="n">
        <x:v>23047</x:v>
      </x:c>
      <x:c r="C5" s="82" t="n">
        <x:v>9.326333145311754</x:v>
      </x:c>
      <x:c r="D5" s="82" t="n">
        <x:v>-2.4296437714236125</x:v>
      </x:c>
      <x:c r="E5" s="82" t="n">
        <x:v>0.2844621859678049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2" t="n">
        <x:v>5</x:v>
      </x:c>
      <x:c r="B6" s="82" t="n">
        <x:v>41267</x:v>
      </x:c>
      <x:c r="C6" s="82" t="n">
        <x:v>8.708726100758476</x:v>
      </x:c>
      <x:c r="D6" s="82" t="n">
        <x:v>-4.282210967601231</x:v>
      </x:c>
      <x:c r="E6" s="82" t="n">
        <x:v>0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9.149999618530273" hidden="0" customWidth="1"/>
    <x:col min="3" max="3" width="11.4399995803833" hidden="0" customWidth="1"/>
    <x:col min="4" max="4" width="9.960000038146973" hidden="0" customWidth="1"/>
  </x:cols>
  <x:sheetData>
    <x:row r="1">
      <x:c r="A1" s="80" t="str">
        <x:v>payment_type</x:v>
      </x:c>
      <x:c r="B1" s="80" t="str">
        <x:v>total_orders</x:v>
      </x:c>
      <x:c r="C1" s="80" t="str">
        <x:v>payment_value</x:v>
      </x:c>
      <x:c r="D1" s="80" t="str">
        <x:v>avg_payment</x:v>
      </x:c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2" t="str">
        <x:v>credit_card</x:v>
      </x:c>
      <x:c r="B2" s="82" t="n">
        <x:v>71384</x:v>
      </x:c>
      <x:c r="C2" s="82" t="n">
        <x:v>13222320.57</x:v>
      </x:c>
      <x:c r="D2" s="82" t="n">
        <x:v>185.22807029586463</x:v>
      </x:c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2" t="str">
        <x:v>boleto</x:v>
      </x:c>
      <x:c r="B3" s="82" t="n">
        <x:v>18438</x:v>
      </x:c>
      <x:c r="C3" s="82" t="n">
        <x:v>3418278.44</x:v>
      </x:c>
      <x:c r="D3" s="82" t="n">
        <x:v>185.39312506779476</x:v>
      </x:c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2" t="str">
        <x:v>voucher</x:v>
      </x:c>
      <x:c r="B4" s="82" t="n">
        <x:v>4352</x:v>
      </x:c>
      <x:c r="C4" s="82" t="n">
        <x:v>817509.64</x:v>
      </x:c>
      <x:c r="D4" s="82" t="n">
        <x:v>187.84688419117649</x:v>
      </x:c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2" t="str">
        <x:v>debit_card</x:v>
      </x:c>
      <x:c r="B5" s="82" t="n">
        <x:v>2377</x:v>
      </x:c>
      <x:c r="C5" s="82" t="n">
        <x:v>442417.02</x:v>
      </x:c>
      <x:c r="D5" s="82" t="n">
        <x:v>186.12411442995372</x:v>
      </x:c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.09000015258789" hidden="0" customWidth="1"/>
    <x:col min="2" max="2" width="123.55000305175781" hidden="0" customWidth="1"/>
  </x:cols>
  <x:sheetData>
    <x:row r="1">
      <x:c r="A1" s="10" t="str">
        <x:v>Item</x:v>
      </x:c>
      <x:c r="B1" s="10" t="str">
        <x:v>Details</x:v>
      </x:c>
    </x:row>
    <x:row r="2">
      <x:c r="A2" s="11" t="str">
        <x:v>Dataset used in this workbook</x:v>
      </x:c>
      <x:c r="B2" s="11" t="str">
        <x:v>Synthetic Olist-style marketplace data generated for this portfolio package because direct dataset download was unavailable in the execution environment.</x:v>
      </x:c>
    </x:row>
    <x:row r="3">
      <x:c r="A3" s="11" t="str">
        <x:v>Recommended real dataset</x:v>
      </x:c>
      <x:c r="B3" s="11" t="str">
        <x:v>Brazilian E-Commerce Public Dataset by Olist</x:v>
      </x:c>
    </x:row>
    <x:row r="4">
      <x:c r="A4" s="11" t="str">
        <x:v>Kaggle URL</x:v>
      </x:c>
      <x:c r="B4" s="11" t="str">
        <x:v>https://www.kaggle.com/datasets/olistbr/brazilian-ecommerce</x:v>
      </x:c>
    </x:row>
    <x:row r="5">
      <x:c r="A5" s="11" t="str">
        <x:v>GitHub mirror inspected</x:v>
      </x:c>
      <x:c r="B5" s="11" t="str">
        <x:v>https://github.com/spdrio/Brazilian-E-Commerce-Public-Dataset-by-Olist</x:v>
      </x:c>
    </x:row>
  </x:sheetData>
  <x:pageMargins left="0.7" right="0.7" top="0.75" bottom="0.75" header="0.3" footer="0.3"/>
</x:worksheet>
</file>